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-2021" sheetId="1" r:id="rId5"/>
    <sheet state="visible" name="2022" sheetId="2" r:id="rId6"/>
    <sheet state="visible" name="2023" sheetId="3" r:id="rId7"/>
    <sheet state="visible" name="2024" sheetId="4" r:id="rId8"/>
    <sheet state="visible" name="2025" sheetId="5" r:id="rId9"/>
    <sheet state="visible" name="2026" sheetId="6" r:id="rId10"/>
    <sheet state="hidden" name="DV" sheetId="7" r:id="rId11"/>
  </sheets>
  <definedNames>
    <definedName name="PROTEKSI">DV!$F$2:$F$10</definedName>
    <definedName name="GI">DV!$A$2:$A$50</definedName>
    <definedName name="PEMOHON">DV!$H$2:$H$10</definedName>
    <definedName name="BAY">DV!$C$2:$C$150</definedName>
    <definedName hidden="1" localSheetId="0" name="_xlnm._FilterDatabase">'2019-2021'!$A$2:$K$124</definedName>
    <definedName hidden="1" localSheetId="1" name="_xlnm._FilterDatabase">'2022'!$A$4:$J$49</definedName>
    <definedName hidden="1" localSheetId="2" name="_xlnm._FilterDatabase">'2023'!$A$4:$J$37</definedName>
    <definedName hidden="1" localSheetId="3" name="_xlnm._FilterDatabase">'2024'!$A$4:$K$100</definedName>
    <definedName hidden="1" localSheetId="4" name="_xlnm._FilterDatabase">'2025'!$A$4:$K$100</definedName>
    <definedName hidden="1" localSheetId="5" name="_xlnm._FilterDatabase">'2026'!$A$4:$K$100</definedName>
    <definedName hidden="1" localSheetId="6" name="_xlnm._FilterDatabase">DV!$P$1:$P$283</definedName>
    <definedName hidden="1" localSheetId="1" name="Z_702A14C5_304D_40D0_8B4D_3F24FE2109FE_.wvu.FilterData">'2022'!$A$4:$J$49</definedName>
    <definedName hidden="1" localSheetId="2" name="Z_702A14C5_304D_40D0_8B4D_3F24FE2109FE_.wvu.FilterData">'2023'!$A$4:$J$49</definedName>
    <definedName hidden="1" localSheetId="3" name="Z_702A14C5_304D_40D0_8B4D_3F24FE2109FE_.wvu.FilterData">'2024'!$A$4:$K$100</definedName>
    <definedName hidden="1" localSheetId="4" name="Z_702A14C5_304D_40D0_8B4D_3F24FE2109FE_.wvu.FilterData">'2025'!$A$4:$K$100</definedName>
    <definedName hidden="1" localSheetId="5" name="Z_702A14C5_304D_40D0_8B4D_3F24FE2109FE_.wvu.FilterData">'2026'!$A$4:$K$100</definedName>
  </definedNames>
  <calcPr/>
  <customWorkbookViews>
    <customWorkbookView activeSheetId="0" maximized="1" windowHeight="0" windowWidth="0" guid="{702A14C5-304D-40D0-8B4D-3F24FE2109FE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tc={0198c279-2fd8-431c-af2d-8b50c4d0f9f9}</author>
  </authors>
  <commentList>
    <comment authorId="0" xr:uid="{0198c279-2fd8-431c-af2d-8b50c4d0f9f9}" ref="K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batal, ketidaksesuaian acuan impedansi dari vendor
</t>
      </text>
    </comment>
  </commentList>
</comments>
</file>

<file path=xl/sharedStrings.xml><?xml version="1.0" encoding="utf-8"?>
<sst xmlns="http://schemas.openxmlformats.org/spreadsheetml/2006/main" count="2451" uniqueCount="789">
  <si>
    <t>No</t>
  </si>
  <si>
    <t>GI</t>
  </si>
  <si>
    <t>BAY</t>
  </si>
  <si>
    <t>Proteksi</t>
  </si>
  <si>
    <t>Pemohon</t>
  </si>
  <si>
    <t>No. Urut</t>
  </si>
  <si>
    <t>Tanggal Buat</t>
  </si>
  <si>
    <t>Official Setting</t>
  </si>
  <si>
    <t>Keterangan</t>
  </si>
  <si>
    <t>Status</t>
  </si>
  <si>
    <t>GI Muarakarang Lama</t>
  </si>
  <si>
    <t>Budi Kemuliaan 1,2</t>
  </si>
  <si>
    <t>OCR 150 kV</t>
  </si>
  <si>
    <t>ULTG Durikosambi</t>
  </si>
  <si>
    <t>Resetting sesuai nilai TSA</t>
  </si>
  <si>
    <t>GIS Grogol</t>
  </si>
  <si>
    <t>TRF #2</t>
  </si>
  <si>
    <t>DIFF, REF, OCR, SBEF</t>
  </si>
  <si>
    <t>Bagian Enjinering</t>
  </si>
  <si>
    <t>Penggantian rele (panel proteksi)</t>
  </si>
  <si>
    <t>GI New Balaraja</t>
  </si>
  <si>
    <t>Balaraja 1,2</t>
  </si>
  <si>
    <t>Distance</t>
  </si>
  <si>
    <t>UIT JBB</t>
  </si>
  <si>
    <t>Pasca masuknya GIS Suvarna Sutera</t>
  </si>
  <si>
    <t>GI Pasar Kemis</t>
  </si>
  <si>
    <t>Cikupa 1,2</t>
  </si>
  <si>
    <t>GI Cengkareng</t>
  </si>
  <si>
    <t>Tangerang Lama 1,2</t>
  </si>
  <si>
    <t>ULTG Tangerang Kota</t>
  </si>
  <si>
    <t>Pasca rekonduktoring</t>
  </si>
  <si>
    <t>LINK</t>
  </si>
  <si>
    <t>GI Tangerang Lama</t>
  </si>
  <si>
    <t>Cengkareng 1,2</t>
  </si>
  <si>
    <t>GI Jatake</t>
  </si>
  <si>
    <t>Cikupa 1</t>
  </si>
  <si>
    <t>Cikupa 2</t>
  </si>
  <si>
    <t>GI Cikupa</t>
  </si>
  <si>
    <t>Pasar Kemis 1,2</t>
  </si>
  <si>
    <t>GI Muarakarang Baru</t>
  </si>
  <si>
    <t>Pantai Indah Kapuk 1</t>
  </si>
  <si>
    <t>Pasca masuknya GIS Daan Mogot</t>
  </si>
  <si>
    <t>Pantai Indah Kapuk 2</t>
  </si>
  <si>
    <t>GI Cengkareng Baru</t>
  </si>
  <si>
    <t>Tangerang Baru 1,2</t>
  </si>
  <si>
    <t>Lola Data &amp; Asesmen</t>
  </si>
  <si>
    <t>GI Millenium</t>
  </si>
  <si>
    <t>Citra Habitat 1,2</t>
  </si>
  <si>
    <t>GI Citra Habitat</t>
  </si>
  <si>
    <t>Millenium 1,2</t>
  </si>
  <si>
    <t>Spinmil 1,2</t>
  </si>
  <si>
    <t>GIS Spinmil</t>
  </si>
  <si>
    <t>Lautan Steel 1,2</t>
  </si>
  <si>
    <t>GI Lautan Steel</t>
  </si>
  <si>
    <t>New Balaraja 1,2</t>
  </si>
  <si>
    <t>TRF #1</t>
  </si>
  <si>
    <t>GIS Kembangan</t>
  </si>
  <si>
    <t>TRF #1,2,3</t>
  </si>
  <si>
    <t>OCR 20 kV</t>
  </si>
  <si>
    <t>Rehabilitasi kubikel incoming</t>
  </si>
  <si>
    <t>GI Teluk Naga</t>
  </si>
  <si>
    <t>Lontar 1,2</t>
  </si>
  <si>
    <t>Jatake 1,2</t>
  </si>
  <si>
    <t>GI Curug</t>
  </si>
  <si>
    <t>GI Durikosambi</t>
  </si>
  <si>
    <t>LCD, OCR</t>
  </si>
  <si>
    <t>KSO PT. Hasta Prajatama</t>
  </si>
  <si>
    <t>Penggantian rele pasca rekonduktoring</t>
  </si>
  <si>
    <t>Resetting pasca penggantian CT</t>
  </si>
  <si>
    <t>GIS Kebon Jeruk</t>
  </si>
  <si>
    <t>Durikosambi 1,2</t>
  </si>
  <si>
    <t>Evaluasi setting sebelumnya</t>
  </si>
  <si>
    <t>GIS Grogol Baru</t>
  </si>
  <si>
    <t>Grogol 1,2</t>
  </si>
  <si>
    <t>Pasca masuknya GI Jatake Baru</t>
  </si>
  <si>
    <t>belum realisasi</t>
  </si>
  <si>
    <t>Pasca gangguan tgl 14 Juli 2020</t>
  </si>
  <si>
    <t>Kopel</t>
  </si>
  <si>
    <t>OCR</t>
  </si>
  <si>
    <t>Konstruksi</t>
  </si>
  <si>
    <t>Uprating Busbar dan Kopel</t>
  </si>
  <si>
    <t>Pasar Kemis Baru 1,2</t>
  </si>
  <si>
    <t>Review ulang (satu sisi belum di resetting pasca komisioning)</t>
  </si>
  <si>
    <t>GI Pasar Kemis Baru</t>
  </si>
  <si>
    <t>Review ulang</t>
  </si>
  <si>
    <t>GI Sepatan</t>
  </si>
  <si>
    <t>Sepatan 1,2</t>
  </si>
  <si>
    <t>Curug #2</t>
  </si>
  <si>
    <t>Distance, OCR</t>
  </si>
  <si>
    <t>Review ulang (ketidaksesuaian data dari kontraktor)</t>
  </si>
  <si>
    <t>Cikupa #2</t>
  </si>
  <si>
    <t>Curug #1</t>
  </si>
  <si>
    <t>Review ulang (ketidaksesuaian data dari kontraktor), masuknya SGS</t>
  </si>
  <si>
    <t>belum realisasi (ada koreksi ulang terkait CCC pht)</t>
  </si>
  <si>
    <t>Cengkareng Baru 1</t>
  </si>
  <si>
    <t>REF HV, LV</t>
  </si>
  <si>
    <t>Resetting pasca penggantian CT N</t>
  </si>
  <si>
    <t>Resetting pasca gangguan (ketidaksesuaian impedansi pasca rekon)</t>
  </si>
  <si>
    <t>Durikosambi 1</t>
  </si>
  <si>
    <t>GIS Lontar</t>
  </si>
  <si>
    <t>Bottleneck setting OCR (terlalu rendah)</t>
  </si>
  <si>
    <t>reject</t>
  </si>
  <si>
    <t>LMK</t>
  </si>
  <si>
    <t>SUTT Angke 1,2</t>
  </si>
  <si>
    <t>TRF #3</t>
  </si>
  <si>
    <t>Penggantain panel proteksi</t>
  </si>
  <si>
    <t>GIS Alam Sutera</t>
  </si>
  <si>
    <t>Ciledug 1</t>
  </si>
  <si>
    <t>Resetting ketidaksesuaian CCC kabel</t>
  </si>
  <si>
    <t>Summarecon Gading Serpong 1,2</t>
  </si>
  <si>
    <t>GI Ciledug</t>
  </si>
  <si>
    <t>Alam Sutera 1</t>
  </si>
  <si>
    <t>GIS Summarecon Gading Serpong</t>
  </si>
  <si>
    <t>Alam Sutera 1,2</t>
  </si>
  <si>
    <t>Review ulang dari No 50 (ada ketidaksesuaian CCC kabel)</t>
  </si>
  <si>
    <t>Cikupa #1</t>
  </si>
  <si>
    <t>Kembangan 1,2</t>
  </si>
  <si>
    <t>Pengaktifan distance &amp; resetting sesuai TSA</t>
  </si>
  <si>
    <t>yg di resetting baru OC bay Kembangan 1</t>
  </si>
  <si>
    <t>Ciledug 2</t>
  </si>
  <si>
    <t>Kembangan 1</t>
  </si>
  <si>
    <t>Curug 1,2</t>
  </si>
  <si>
    <t>Summarecon Gading Serpong 1</t>
  </si>
  <si>
    <t>Curug 2</t>
  </si>
  <si>
    <t>kroscek ulang</t>
  </si>
  <si>
    <t>Penggantian rele OCR</t>
  </si>
  <si>
    <t>Kembangan 2</t>
  </si>
  <si>
    <t>Alam Sutera 2</t>
  </si>
  <si>
    <t>GIS Pantai Indah Kapuk</t>
  </si>
  <si>
    <t>Muarakarang Baru 1,2</t>
  </si>
  <si>
    <t>Scanning rutin setting proteksi</t>
  </si>
  <si>
    <t>Cengkareng 1</t>
  </si>
  <si>
    <t>Ada ketidaksesuain setting dengan sisi Cengkareng</t>
  </si>
  <si>
    <t>Muarakarang Lama 1</t>
  </si>
  <si>
    <t>Evaluasi terkait perbedaan setting dg sirkit 2</t>
  </si>
  <si>
    <t>cek</t>
  </si>
  <si>
    <t>GI Angke</t>
  </si>
  <si>
    <t>Ketidaksesuaian acuan CCC busbar</t>
  </si>
  <si>
    <t>resetting kondisi buspro aktif</t>
  </si>
  <si>
    <t>Koep</t>
  </si>
  <si>
    <t>Review ulang penggantian rele, ketidaksesuaian impedansi, masuknya GIS Jatake Baru</t>
  </si>
  <si>
    <t>Review ulang penggantian rele, ketidaksesuaian impedansi</t>
  </si>
  <si>
    <t>Resetting ketidaksesuaian setting sebelumnya</t>
  </si>
  <si>
    <t>Rev.01, ada penggantian ratio CT HV</t>
  </si>
  <si>
    <t>Penggantian panel proteksi</t>
  </si>
  <si>
    <t>GI Maximangando</t>
  </si>
  <si>
    <t>Pemasangan rele OCR</t>
  </si>
  <si>
    <t>SBEF</t>
  </si>
  <si>
    <t>Penggantian rele SBEF (mala kerja rele)</t>
  </si>
  <si>
    <t>Tangerang Baru 2</t>
  </si>
  <si>
    <t>LCD</t>
  </si>
  <si>
    <t>temuan kesalahan pembacaan FL saat gangguan (ganti rele)</t>
  </si>
  <si>
    <t>Kapasitor</t>
  </si>
  <si>
    <t>penggantian CT (300/5)</t>
  </si>
  <si>
    <t>Penggantian CT (2000/5)</t>
  </si>
  <si>
    <t>Angke 1,2</t>
  </si>
  <si>
    <t>Resetting sesuai TSA</t>
  </si>
  <si>
    <t>Cengkareng Baru 2</t>
  </si>
  <si>
    <t>Pengaktifan distance</t>
  </si>
  <si>
    <t>Muarakarang Lama 2</t>
  </si>
  <si>
    <t>Ketidaksesuaian acuan CCC (1416)</t>
  </si>
  <si>
    <t>Ketidaksesuaian acuan CCC (1416) &amp; Penggantian Rele</t>
  </si>
  <si>
    <t>Curug 1</t>
  </si>
  <si>
    <t>Cengkareng 2</t>
  </si>
  <si>
    <t>Durikosambi 2</t>
  </si>
  <si>
    <t>Resetting sesuai TSA, penggantian CT</t>
  </si>
  <si>
    <t>TRF 2</t>
  </si>
  <si>
    <t>Penggantian Keypad Rele</t>
  </si>
  <si>
    <t>Karet Baru 1,2</t>
  </si>
  <si>
    <t>Diff Pilot, OCR</t>
  </si>
  <si>
    <t>Penggantian panel pasca kebakaran</t>
  </si>
  <si>
    <t>Karet Baru 1/2, Durikosambi 1/2, Kopel</t>
  </si>
  <si>
    <t>CBF</t>
  </si>
  <si>
    <t>ULTG Cikupa</t>
  </si>
  <si>
    <t>TRF 3</t>
  </si>
  <si>
    <t>Penggantian kubikel inc dan kebutuhan pusertif</t>
  </si>
  <si>
    <t>Tangerang Baru 1</t>
  </si>
  <si>
    <t>Penggantian rele Distance</t>
  </si>
  <si>
    <t>Perubahan CTN</t>
  </si>
  <si>
    <t>Summarecon Gading Serpong 2</t>
  </si>
  <si>
    <t>HAR RUTIN SM 1 (TOTAL)</t>
  </si>
  <si>
    <t>HAR RUTIN BUSBAR</t>
  </si>
  <si>
    <t>(dikeluarkan)</t>
  </si>
  <si>
    <t>HAR RUTIN DIAMETER</t>
  </si>
  <si>
    <t>HAR RUTIN SCANNING</t>
  </si>
  <si>
    <t>NON RUTIN SCANNING</t>
  </si>
  <si>
    <t>PROSENTASE</t>
  </si>
  <si>
    <t>LIST OFFICIAL TAP SETTING (RESETTING)</t>
  </si>
  <si>
    <t>NO</t>
  </si>
  <si>
    <t>PROTEKSI</t>
  </si>
  <si>
    <t>PEMOHON</t>
  </si>
  <si>
    <t>NO. URUT</t>
  </si>
  <si>
    <t>TANGGAL BUAT</t>
  </si>
  <si>
    <t>OFFICIAL SETTING</t>
  </si>
  <si>
    <t>KETERANGAN</t>
  </si>
  <si>
    <t>STATUS</t>
  </si>
  <si>
    <t>GI 150KV ANGKE</t>
  </si>
  <si>
    <t>KOPEL BUS 150kV</t>
  </si>
  <si>
    <t>OCR 150kV</t>
  </si>
  <si>
    <t>ULTG DURIKOSAMBI</t>
  </si>
  <si>
    <t>001</t>
  </si>
  <si>
    <t>Uprating Busbar dan pengaktifan Buspro</t>
  </si>
  <si>
    <t>GI 150KV NEW BALARAJA</t>
  </si>
  <si>
    <t>PHT 150kV LAUTAN STEEL #1</t>
  </si>
  <si>
    <t>DISTANCE</t>
  </si>
  <si>
    <t>ULTG CIKUPA</t>
  </si>
  <si>
    <t>002</t>
  </si>
  <si>
    <t>Temuan ketidaksesuaian jarak penghantar</t>
  </si>
  <si>
    <t>PHT 150kV LAUTAN STEEL #2</t>
  </si>
  <si>
    <t>GI 150KV LAUTAN STEEL</t>
  </si>
  <si>
    <t>PHT 150kV NEW BALARAJA #1</t>
  </si>
  <si>
    <t>003</t>
  </si>
  <si>
    <t>PHT 150kV NEW BALARAJA #2</t>
  </si>
  <si>
    <t>GIS 150KV NEW SENAYAN</t>
  </si>
  <si>
    <t>LOLA DATA &amp; ASESMEN</t>
  </si>
  <si>
    <t>004</t>
  </si>
  <si>
    <t>Kesalahan resetting sebelumnya</t>
  </si>
  <si>
    <t>005</t>
  </si>
  <si>
    <t>Kondisi buspro tidak aktif</t>
  </si>
  <si>
    <t>GI 150KV CITRA HABITAT</t>
  </si>
  <si>
    <t>006</t>
  </si>
  <si>
    <t>Resetting OC terlalu rendah dan kondisi buspro tidak aktif</t>
  </si>
  <si>
    <t>GI 150KV MAXIMANGANDO</t>
  </si>
  <si>
    <t>007</t>
  </si>
  <si>
    <t>Resetting kondisi buspro aktif (pasca implementasi buspro goose)</t>
  </si>
  <si>
    <t>008</t>
  </si>
  <si>
    <t>Rev01 jarak penghantar</t>
  </si>
  <si>
    <t>009</t>
  </si>
  <si>
    <t>GIS 150KV KEMBANGAN</t>
  </si>
  <si>
    <t>TRF#1 150/20kV</t>
  </si>
  <si>
    <t>KONSTRUKSI</t>
  </si>
  <si>
    <t>010</t>
  </si>
  <si>
    <t>Penggantian TRF #1  dan CTN HV</t>
  </si>
  <si>
    <t>GI 150KV CURUG</t>
  </si>
  <si>
    <t>DIFF</t>
  </si>
  <si>
    <t>ULTG TANGERANG KOTA</t>
  </si>
  <si>
    <t>011</t>
  </si>
  <si>
    <t>Penggantian rele dan migrasi High Impedance to Low Impedance</t>
  </si>
  <si>
    <t>GI 150KV MILENIUM</t>
  </si>
  <si>
    <t>012</t>
  </si>
  <si>
    <t>Resetting buspro kondisi off (ada anomaly sehingga buspro blok)</t>
  </si>
  <si>
    <t>GI 150KV MUARAKARANG BARU</t>
  </si>
  <si>
    <t>PHT 150kV MUARAKARANG LAMA#1</t>
  </si>
  <si>
    <t>013</t>
  </si>
  <si>
    <t>PHT 150KV MUARAKARANG BARU #2</t>
  </si>
  <si>
    <t>014</t>
  </si>
  <si>
    <t>GI 150KV MUARAKARANG LAMA</t>
  </si>
  <si>
    <t>PHT 150KV MUARAKARANG BARU #1</t>
  </si>
  <si>
    <t>015</t>
  </si>
  <si>
    <t>016</t>
  </si>
  <si>
    <t>Penggantian TRF</t>
  </si>
  <si>
    <t>GI 150KV JATAKE</t>
  </si>
  <si>
    <t>017</t>
  </si>
  <si>
    <t>Kondisi buspro aktif</t>
  </si>
  <si>
    <t>TRF#2 150/20kV</t>
  </si>
  <si>
    <t>PIHAK KETIGA</t>
  </si>
  <si>
    <t>Penggantian panel kontrol dan proteksi</t>
  </si>
  <si>
    <t>GIS 150KV SUMMARECON GADING SERPONG</t>
  </si>
  <si>
    <t>PHT 150kV ALAM SUTERA #2</t>
  </si>
  <si>
    <t>018</t>
  </si>
  <si>
    <t>Temuan ketidaksesuaian CCC eksisting</t>
  </si>
  <si>
    <t>GIS 150KV ALAM SUTERA</t>
  </si>
  <si>
    <t>PHT 150kV SUMMARECON GADING SERPONG #2</t>
  </si>
  <si>
    <t>019</t>
  </si>
  <si>
    <t>GIS 150KV GROGOL</t>
  </si>
  <si>
    <t>020</t>
  </si>
  <si>
    <t>kondisi buspro aktif</t>
  </si>
  <si>
    <t>GI 150KV TIGARAKSA</t>
  </si>
  <si>
    <t>021</t>
  </si>
  <si>
    <t>GI 150KV CENGKARENG</t>
  </si>
  <si>
    <t>022</t>
  </si>
  <si>
    <t>Review penggantian TRF</t>
  </si>
  <si>
    <t>GI 150KV CENGKARENG BARU</t>
  </si>
  <si>
    <t>023</t>
  </si>
  <si>
    <t>GI 150KV CILEDUG</t>
  </si>
  <si>
    <t>024</t>
  </si>
  <si>
    <t>PHT 150kV CILEDUG #2</t>
  </si>
  <si>
    <t>025</t>
  </si>
  <si>
    <t>PHT 150kV CILEDUG #1</t>
  </si>
  <si>
    <t>DISTANCE, OCR</t>
  </si>
  <si>
    <t>026</t>
  </si>
  <si>
    <t>027</t>
  </si>
  <si>
    <t>GI 150KV DURIKOSAMBI</t>
  </si>
  <si>
    <t>PHT 150kV DAAN MOGOT #1</t>
  </si>
  <si>
    <t>028</t>
  </si>
  <si>
    <t>Ganti rele</t>
  </si>
  <si>
    <t>PHT 150kV DAAN MOGOT #2</t>
  </si>
  <si>
    <t>029</t>
  </si>
  <si>
    <t>GI 150KV BALARAJA</t>
  </si>
  <si>
    <t>PHT 150kV BALARAJA #1</t>
  </si>
  <si>
    <t>PHT 150kV BALARAJA #2</t>
  </si>
  <si>
    <t>PHT 150kV CENGKARENG #2</t>
  </si>
  <si>
    <t>030</t>
  </si>
  <si>
    <t>Evaluasi Setting</t>
  </si>
  <si>
    <t>PHT 150kV CENGKARENG BARU #2</t>
  </si>
  <si>
    <t>031</t>
  </si>
  <si>
    <t>032</t>
  </si>
  <si>
    <t>Resetting kondisi buspro aktif</t>
  </si>
  <si>
    <t>033</t>
  </si>
  <si>
    <t>034</t>
  </si>
  <si>
    <t>Ketidaksesuaian setting REF</t>
  </si>
  <si>
    <t>PHT 150kV JATAKE BARU #2</t>
  </si>
  <si>
    <t>035</t>
  </si>
  <si>
    <t>Penggantian Ratio CT</t>
  </si>
  <si>
    <t>TRF#3 150/20kV</t>
  </si>
  <si>
    <t>DIFF, REF</t>
  </si>
  <si>
    <t>Penggantian CTN HV (400/5)</t>
  </si>
  <si>
    <t>PHT 150kV JATAKE BARU #1</t>
  </si>
  <si>
    <t>Penggantian CT (1600/5)</t>
  </si>
  <si>
    <t>GIS 150KV KEBON JERUK</t>
  </si>
  <si>
    <t>Kroscek setting</t>
  </si>
  <si>
    <t>KAPASITOR SC #2 150kV</t>
  </si>
  <si>
    <t>UNBALANCE</t>
  </si>
  <si>
    <t>Breakdown 1 bank phasa S</t>
  </si>
  <si>
    <t>PHT 150kV CITRA HABITAT #2</t>
  </si>
  <si>
    <t>Evaluasi setting (ada ketidaksamaan setting eksisting pht 1 dan 2)</t>
  </si>
  <si>
    <t>PHT 150kV SINAR SAHABAT #1</t>
  </si>
  <si>
    <t>Penggantian CT (2000/1)</t>
  </si>
  <si>
    <t>PHT 150kV SINAR SAHABAT #2</t>
  </si>
  <si>
    <t>PHT 150kV TIGARAKSA #1</t>
  </si>
  <si>
    <t>Penggantian CT</t>
  </si>
  <si>
    <t>PHT 150kV SINDANG JAYA #1</t>
  </si>
  <si>
    <t>Aktivasi Buspro</t>
  </si>
  <si>
    <t>GIS 150KV LONTAR</t>
  </si>
  <si>
    <t>PHT 150kV DADAP #1</t>
  </si>
  <si>
    <t>Ketidaksesuaian CCC penghantar</t>
  </si>
  <si>
    <t>PHT 150kV DADAP #2</t>
  </si>
  <si>
    <t>GI 150KV DADAP</t>
  </si>
  <si>
    <t>PHT 150kV LONTAR #1</t>
  </si>
  <si>
    <t>PHT 150kV LONTAR #2</t>
  </si>
  <si>
    <t>Buspro tidak aktif</t>
  </si>
  <si>
    <t>GI 150KV TANGERANG</t>
  </si>
  <si>
    <t>Buspro aktif</t>
  </si>
  <si>
    <t>GI 150KV CIKUPA</t>
  </si>
  <si>
    <t>Buspro Aktif</t>
  </si>
  <si>
    <t>TRF#4 150/20kV</t>
  </si>
  <si>
    <t>resetting GFR sesuai JIAC</t>
  </si>
  <si>
    <t>GI 150KV TELUK NAGA</t>
  </si>
  <si>
    <t>GIS 150KV DAAN MOGOT</t>
  </si>
  <si>
    <t>PHT 150kV DURIKOSAMBI #1</t>
  </si>
  <si>
    <t>ganti CT</t>
  </si>
  <si>
    <t>PHT 150kV DURIKOSAMBI #2</t>
  </si>
  <si>
    <t>GIS 150KV PANTAI INDAH KAPUK</t>
  </si>
  <si>
    <t>penggantian trafo</t>
  </si>
  <si>
    <t>Penggantian NGR</t>
  </si>
  <si>
    <t>PHT 150kV CIKUPA #2</t>
  </si>
  <si>
    <t>Uprating crossbar, inom terkecil jadi 1600</t>
  </si>
  <si>
    <t>PHT 150kV CIKUPA #1</t>
  </si>
  <si>
    <t>Uprating crossbar, inom terkecil jadi 1560</t>
  </si>
  <si>
    <t>PHT 150kV KETAPANG #2</t>
  </si>
  <si>
    <t>ULTG</t>
  </si>
  <si>
    <t>ULTG ANGKE</t>
  </si>
  <si>
    <t>GIS 150KV GROGOL BARU</t>
  </si>
  <si>
    <t>GIS 150KV MUARAKARANG BARU</t>
  </si>
  <si>
    <t>GIS 150KV TOMANG</t>
  </si>
  <si>
    <t>GIS 150KV ULUJAMI</t>
  </si>
  <si>
    <t>ULTG CITRA RAYA</t>
  </si>
  <si>
    <t>GI 150KV GAJAH TUNGGAL</t>
  </si>
  <si>
    <t>036</t>
  </si>
  <si>
    <t>037</t>
  </si>
  <si>
    <t>038</t>
  </si>
  <si>
    <t>039</t>
  </si>
  <si>
    <t>TRF#5 150/20kV</t>
  </si>
  <si>
    <t>040</t>
  </si>
  <si>
    <t>041</t>
  </si>
  <si>
    <t>042</t>
  </si>
  <si>
    <t>GI 150KV SINDANG JAYA</t>
  </si>
  <si>
    <t>043</t>
  </si>
  <si>
    <t>044</t>
  </si>
  <si>
    <t>GI 150KV TANGERANG BARU</t>
  </si>
  <si>
    <t>045</t>
  </si>
  <si>
    <t>046</t>
  </si>
  <si>
    <t>047</t>
  </si>
  <si>
    <t>048</t>
  </si>
  <si>
    <t>049</t>
  </si>
  <si>
    <t>050</t>
  </si>
  <si>
    <t>051</t>
  </si>
  <si>
    <t>052</t>
  </si>
  <si>
    <t>GIS 150KV JATAKE BARU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</si>
  <si>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</si>
  <si>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</si>
  <si>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</si>
  <si>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</si>
  <si>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</si>
  <si>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</si>
  <si>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</si>
  <si>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</si>
  <si>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</si>
  <si>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</si>
  <si>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</si>
  <si>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</si>
  <si>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</si>
  <si>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</si>
  <si>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</si>
  <si>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</si>
  <si>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</si>
  <si>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</si>
  <si>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</si>
  <si>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</si>
  <si>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</si>
  <si>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</si>
  <si>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</si>
  <si>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</si>
  <si>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</si>
  <si>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</si>
  <si>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</si>
  <si>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</si>
  <si>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</si>
  <si>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GIS 150KV METLAND</t>
  </si>
  <si>
    <t>082</t>
  </si>
  <si>
    <t>083</t>
  </si>
  <si>
    <t>084</t>
  </si>
  <si>
    <t>OCR 20kV</t>
  </si>
  <si>
    <t>Pemisahan Fungsi OCR LV dengan SBEF</t>
  </si>
  <si>
    <t>FINISHED</t>
  </si>
  <si>
    <t>PHT 15OkV ULUJAMI #1</t>
  </si>
  <si>
    <t>Rescanning</t>
  </si>
  <si>
    <t>ON PROG</t>
  </si>
  <si>
    <t>PHT 15OkV ULUJAMI #2</t>
  </si>
  <si>
    <t>Perubahan Tap CT ke 2000/5</t>
  </si>
  <si>
    <t>PHT 150kV METLAND #1</t>
  </si>
  <si>
    <t>Perubahan Rasio CT 3200/1 ke 4000/1</t>
  </si>
  <si>
    <t>GI BARU (PASCA REOR)</t>
  </si>
  <si>
    <t>BUS SECTION A 150kV</t>
  </si>
  <si>
    <t>UPT DURIKOSAMBI</t>
  </si>
  <si>
    <t>BUSBAR #1 150kV</t>
  </si>
  <si>
    <t>BUS SECTION B 150kV</t>
  </si>
  <si>
    <t>BUSBAR #2 150kV</t>
  </si>
  <si>
    <t>IBT#1 500/150kV</t>
  </si>
  <si>
    <t>KAPASITOR SC#2 150kV</t>
  </si>
  <si>
    <t>IBT#2 500/150kV</t>
  </si>
  <si>
    <t>IBT#3 500/150kV</t>
  </si>
  <si>
    <t>PHT 150kV ANCOL#1</t>
  </si>
  <si>
    <t>IBT#4 500/150kV</t>
  </si>
  <si>
    <t>PHT 150kV ANCOL#2</t>
  </si>
  <si>
    <t>KAPASITOR SC #1 150kV</t>
  </si>
  <si>
    <t>PHT 150kV KARET LAMA#1</t>
  </si>
  <si>
    <t>PHT 150kV KARET LAMA#2</t>
  </si>
  <si>
    <t>GI 150KV ITS</t>
  </si>
  <si>
    <t>PHT 150kV KETAPANG#1</t>
  </si>
  <si>
    <t>KOPEL BUS #1 150kV</t>
  </si>
  <si>
    <t>PHT 150kV KETAPANG#2</t>
  </si>
  <si>
    <t>KOPEL BUS #2 150kV</t>
  </si>
  <si>
    <t>KTT</t>
  </si>
  <si>
    <t>PHT 150kV MUARAKARANG LAMA#2</t>
  </si>
  <si>
    <t>PHT 150kV ALAM SUTERA #1</t>
  </si>
  <si>
    <t>TRF#1 150/20kV (INC)</t>
  </si>
  <si>
    <t>PHT 150kV ANCOL #1</t>
  </si>
  <si>
    <t>PHT 150kV ANCOL #2</t>
  </si>
  <si>
    <t>TRF#2 150/20kV (INC)</t>
  </si>
  <si>
    <t>PHT 150kV ANGKE #1</t>
  </si>
  <si>
    <t>PHT 150kV ANGKE #2</t>
  </si>
  <si>
    <t>TRF#3 150/20kV (INC)</t>
  </si>
  <si>
    <t>GI 150KV PASAR KEMIS</t>
  </si>
  <si>
    <t>GI 150KV PASAR KEMIS BARU</t>
  </si>
  <si>
    <t>TRF#4 150/20kV (INC)</t>
  </si>
  <si>
    <t>GI 150KV SEPATAN</t>
  </si>
  <si>
    <t>PHT 150kV BUDIKEMULYAN #1</t>
  </si>
  <si>
    <t>UGC 150kV MUARAKARANG LAMA #1</t>
  </si>
  <si>
    <t>GI 150KV SEPATAN BARU</t>
  </si>
  <si>
    <t>PHT 150kV BUDIKEMULYAN #2</t>
  </si>
  <si>
    <t>UGC 150kV MUARAKARANG LAMA #2</t>
  </si>
  <si>
    <t>PHT 150kV CENGKARENG #1</t>
  </si>
  <si>
    <t>KAPASITOR SC#1 150kV</t>
  </si>
  <si>
    <t>PHT 150kV CENGKARENG BARU#1</t>
  </si>
  <si>
    <t>PHT 150kV CENGKARENG BARU#2</t>
  </si>
  <si>
    <t>PHT 150kV DURIKOSAMBI#1</t>
  </si>
  <si>
    <t>PHT 150kV CENGKARENG BARU</t>
  </si>
  <si>
    <t>PHT 150kV DURIKOSAMBI#2</t>
  </si>
  <si>
    <t>PHT 150kV CENGKARENG BARU #1</t>
  </si>
  <si>
    <t>PHT 150kV TANGERANG#1</t>
  </si>
  <si>
    <t>PHT 150kV TANGERANG#2</t>
  </si>
  <si>
    <t>PHT 150kV CIKANDE #1</t>
  </si>
  <si>
    <t>TRF#1 150/22kV</t>
  </si>
  <si>
    <t>PHT 150kV CIKANDE #2</t>
  </si>
  <si>
    <t>TRF#1 150/22kV (INC)</t>
  </si>
  <si>
    <t>TRF#4 150/22kV</t>
  </si>
  <si>
    <t>GISTET 500KV DURIKOSAMBI</t>
  </si>
  <si>
    <t>TRF#4 150/22kV (INC)</t>
  </si>
  <si>
    <t>GISTET 500KV KEMBANGAN</t>
  </si>
  <si>
    <t>TRF#5 150/20kV (INC)</t>
  </si>
  <si>
    <t>PHT 150kV CITRA HABITAT #1</t>
  </si>
  <si>
    <t>PHT 150kV CURUG #1</t>
  </si>
  <si>
    <t>KOPEL BUS 150 kV</t>
  </si>
  <si>
    <t>GIS 150KV SPINMILL</t>
  </si>
  <si>
    <t>PHT 150kV CURUG #2</t>
  </si>
  <si>
    <t>PHT 150kV BANDARA SOETA #2</t>
  </si>
  <si>
    <t>PHT 150kV BANDARA SOETA#1</t>
  </si>
  <si>
    <t>GIS 150KV SUVARNA SUTERA</t>
  </si>
  <si>
    <t>PHT 150kV ITS</t>
  </si>
  <si>
    <t>PHT 150KV GROGOL #1</t>
  </si>
  <si>
    <t>PHT 150kV TANGERANG BARU</t>
  </si>
  <si>
    <t>PHT 150KV GROGOL #2</t>
  </si>
  <si>
    <t>TRF#2 150/22kV</t>
  </si>
  <si>
    <t>GITET 500KV BALARAJA</t>
  </si>
  <si>
    <t>PHT 150kV GROGOL BARU #1</t>
  </si>
  <si>
    <t>TRF#2 150/22kV (INC)</t>
  </si>
  <si>
    <t>PHT 150kV GROGOL BARU #2</t>
  </si>
  <si>
    <t>KAPASITOR SC#1 150 kV</t>
  </si>
  <si>
    <t>PHT 150kV JATAKE #1</t>
  </si>
  <si>
    <t>PHT 150kV JATAKE #2</t>
  </si>
  <si>
    <t>PHT 150kV ALAM SUTERA #2 </t>
  </si>
  <si>
    <t>PHT 150kV KARET BARU #1</t>
  </si>
  <si>
    <t>PHT 150kV KARET BARU #2</t>
  </si>
  <si>
    <t>PHT 150kV METLAND #2 </t>
  </si>
  <si>
    <t>PHT 150kV KARET LAMA #1</t>
  </si>
  <si>
    <t>PHT 150kV KARET LAMA #2</t>
  </si>
  <si>
    <t>PHT 150kV KEBON JERUK #1</t>
  </si>
  <si>
    <t>PHT 150kV SUMMARECON GADING SERPONG #1</t>
  </si>
  <si>
    <t>PHT 150kV KEBON JERUK #2</t>
  </si>
  <si>
    <t>PHT 150kV KEMBANGAN #1</t>
  </si>
  <si>
    <t>PHT 150KV TELUK NAGA #1</t>
  </si>
  <si>
    <t>PHT 150kV KEMBANGAN #2</t>
  </si>
  <si>
    <t>PHT 150KV TELUK NAGA #2</t>
  </si>
  <si>
    <t>PHT 150kV KETAPANG #1</t>
  </si>
  <si>
    <t>PHT 150KV LONTAR #1</t>
  </si>
  <si>
    <t>PHT 150KV LONTAR #2</t>
  </si>
  <si>
    <t>PHT 150kV KONSUMEN</t>
  </si>
  <si>
    <t>BUSBAR A</t>
  </si>
  <si>
    <t>PHT 150kV KONSUMEN BANDARA #1</t>
  </si>
  <si>
    <t>BUSBAR B</t>
  </si>
  <si>
    <t>PHT 150kV KONSUMEN BANDARA #2</t>
  </si>
  <si>
    <t>KOPEL 150kV</t>
  </si>
  <si>
    <t>BUS SECTION #1 150kV</t>
  </si>
  <si>
    <t>BUS SECTION #2 150kV</t>
  </si>
  <si>
    <t>PHT 150kV LEGOK #1</t>
  </si>
  <si>
    <t>BUSBAR #1A 150kV</t>
  </si>
  <si>
    <t>PHT 150kV LEGOK #2</t>
  </si>
  <si>
    <t>BUSBAR #1B 150kV</t>
  </si>
  <si>
    <t>PHT 150kV LMK</t>
  </si>
  <si>
    <t>BUSBAR #2A 150kV</t>
  </si>
  <si>
    <t>BUSBAR #2B 150kV</t>
  </si>
  <si>
    <t>IBT#1 500/150kV (LV)</t>
  </si>
  <si>
    <t>PHT 150kV MAXIMANGANDO #1</t>
  </si>
  <si>
    <t>IBT#2 500/150kV (LV)</t>
  </si>
  <si>
    <t>PHT 150kV MAXIMANGANDO #2</t>
  </si>
  <si>
    <t>KOPEL BUS#1 150kV</t>
  </si>
  <si>
    <t>PHT 150kV MILENIUM #1</t>
  </si>
  <si>
    <t>KOPEL BUS#2 150kV</t>
  </si>
  <si>
    <t>PHT 150kV MILENIUM #2</t>
  </si>
  <si>
    <t>PHT 150kV CENGKARENG#1</t>
  </si>
  <si>
    <t>PHT 150kV CENGKARENG#2</t>
  </si>
  <si>
    <t>PHT 150kV DAAN MOGOT#1</t>
  </si>
  <si>
    <t>PHT 150kV DAAN MOGOT#2</t>
  </si>
  <si>
    <t>PHT 150kV GROGOL BARU#1</t>
  </si>
  <si>
    <t>PHT 150kV GROGOL BARU#2</t>
  </si>
  <si>
    <t>PHT 150kV KEBON JERUK#1</t>
  </si>
  <si>
    <t>PHT 150kV NEW SENAYAN #1</t>
  </si>
  <si>
    <t>PHT 150kV KEBON JERUK#2</t>
  </si>
  <si>
    <t>PHT 150kV NEW SENAYAN #2</t>
  </si>
  <si>
    <t>PHT 150kV KEMBANGAN#1</t>
  </si>
  <si>
    <t>PHT 150KV PANTAI INDAH KAPUK #1</t>
  </si>
  <si>
    <t>PHT 150kV KEMBANGAN#2</t>
  </si>
  <si>
    <t>PHT 150KV PANTAI INDAH KAPUK #2</t>
  </si>
  <si>
    <t>PHT 150kV PASAR KEMIS #1</t>
  </si>
  <si>
    <t>TRF#3 150/22kV</t>
  </si>
  <si>
    <t>PHT 150kV PASAR KEMIS #2</t>
  </si>
  <si>
    <t>TRF#3 150/22kV (INC)</t>
  </si>
  <si>
    <t>PHT 150kV PASAR KEMIS BARU #1</t>
  </si>
  <si>
    <t>PHT 150kV PASAR KEMIS BARU #2</t>
  </si>
  <si>
    <t>PHT 150kV PASAR KEMIS BARU#1</t>
  </si>
  <si>
    <t>PHT 150kV PETUKANGAN #1</t>
  </si>
  <si>
    <t>PHT 150KV CENGKARENG BARU #1</t>
  </si>
  <si>
    <t>PHT 150kV PETUKANGAN #2</t>
  </si>
  <si>
    <t>PHT 150KV KTT</t>
  </si>
  <si>
    <t>PHT 150KV SEPATAN #1</t>
  </si>
  <si>
    <t>PHT 150KV TANGERANG BARU #1</t>
  </si>
  <si>
    <t>PHT 150KV SEPATAN #2</t>
  </si>
  <si>
    <t>KAPASITOR SC#2 150 kV</t>
  </si>
  <si>
    <t>PHT 150kV SEPATAN BARU #1</t>
  </si>
  <si>
    <t>PHT 150kV CIKUPA#1</t>
  </si>
  <si>
    <t>PHT 150kV SEPATAN BARU #2</t>
  </si>
  <si>
    <t>PHT 150kV CIKUPA#2</t>
  </si>
  <si>
    <t>PHT 150kV JATAKE BARU#1</t>
  </si>
  <si>
    <t>PHT 150kV SINDANG JAYA #2</t>
  </si>
  <si>
    <t>PHT 150kV JATAKE BARU#2</t>
  </si>
  <si>
    <t>PHT 150kV SPINMILL #1</t>
  </si>
  <si>
    <t>PHT 150kV MAXIMANGANDO#1</t>
  </si>
  <si>
    <t>PHT 150kV SPINMILL #2</t>
  </si>
  <si>
    <t>PHT 150kV MAXIMANGANDO#2</t>
  </si>
  <si>
    <t>TRF#5 150/22kV</t>
  </si>
  <si>
    <t>TRF#5 150/22kV (INC)</t>
  </si>
  <si>
    <t>PHT 150kV SUVARNA SUTERA #1</t>
  </si>
  <si>
    <t>PHT 150kV JATAKE#1</t>
  </si>
  <si>
    <t>PHT 150kV SUVARNA SUTERA #2</t>
  </si>
  <si>
    <t>PHT 150kV JATAKE#2</t>
  </si>
  <si>
    <t>PHT 150kV TANGERANG #1</t>
  </si>
  <si>
    <t>PHT 150kV KTT INTERWORLD</t>
  </si>
  <si>
    <t>PHT 150kV TANGERANG #2</t>
  </si>
  <si>
    <t>PHT 150kV KTT MAXIMANGANDO</t>
  </si>
  <si>
    <t>5A3 DIAMETER#3 150kV</t>
  </si>
  <si>
    <t>PHT 150kV TANGERANG BARU #1</t>
  </si>
  <si>
    <t>5A4 DIAMETER#4 150kV</t>
  </si>
  <si>
    <t>PHT 150kV TANGERANG BARU #2</t>
  </si>
  <si>
    <t>5A5 DIAMETER#5 150kV</t>
  </si>
  <si>
    <t>PHT 150kV TELUK NAGA #1</t>
  </si>
  <si>
    <t>5A6 DIAMETER#6 150kV</t>
  </si>
  <si>
    <t>PHT 150kV TELUK NAGA #2</t>
  </si>
  <si>
    <t>5A7 DIAMETER#7 150kV</t>
  </si>
  <si>
    <t>5AB3 DIAMETER#3 150kV</t>
  </si>
  <si>
    <t>PHT 150kV TIGARAKSA #2</t>
  </si>
  <si>
    <t>5AB4 DIAMETER#4 150kV</t>
  </si>
  <si>
    <t>PHT 150kV TOMANG #1</t>
  </si>
  <si>
    <t>5AB5 DIAMETER#5 150kV</t>
  </si>
  <si>
    <t>PHT 150kV TOMANG #2</t>
  </si>
  <si>
    <t>5AB6 DIAMETER#6 150kV</t>
  </si>
  <si>
    <t>PHT 150KV UCG MUARAKARANG LAMA #1</t>
  </si>
  <si>
    <t>5AB7 DIAMETER#7 150kV</t>
  </si>
  <si>
    <t>PHT 150KV UCG MUARAKARANG LAMA #2</t>
  </si>
  <si>
    <t>5B3 DIAMETER#3 150kV</t>
  </si>
  <si>
    <t>PHT 150kV UGC ANGKE #1</t>
  </si>
  <si>
    <t>5B4 DIAMETER#4 150kV</t>
  </si>
  <si>
    <t>PHT 150kV UGC ANGKE #2</t>
  </si>
  <si>
    <t>5B5 DIAMETER#5 150kV</t>
  </si>
  <si>
    <t>5B6 DIAMETER#6 150kV</t>
  </si>
  <si>
    <t>5B7 DIAMETER#7 150 kV</t>
  </si>
  <si>
    <t>PHT 500kV BALARAJA #1</t>
  </si>
  <si>
    <t>GTG 1.1 (53A)</t>
  </si>
  <si>
    <t>PHT 500kV BALARAJA #2</t>
  </si>
  <si>
    <t>GTG 1.2 (5A4)</t>
  </si>
  <si>
    <t>PHT 500kV DURIKOSAMBI #1</t>
  </si>
  <si>
    <t>GTG 1.3 (5A5)</t>
  </si>
  <si>
    <t>PHT 500kV DURIKOSAMBI #2</t>
  </si>
  <si>
    <t>PHT 150kV GIS MUARAKARANG BARU #1 (5B4)</t>
  </si>
  <si>
    <t>PHT 500KV GANDUL</t>
  </si>
  <si>
    <t>PHT 150kV GIS MUARAKARANG BARU #2 (5B3)</t>
  </si>
  <si>
    <t>PHT 500kV GANDUL #1</t>
  </si>
  <si>
    <t>PHT 150kV MUARAKARANG LAMA#1 (5B1)</t>
  </si>
  <si>
    <t>PHT 500kV GANDUL #2</t>
  </si>
  <si>
    <t>PHT 150kV MUARAKARANG LAMA#2 (5B2)</t>
  </si>
  <si>
    <t>PHT 500kV JAWA7 #1</t>
  </si>
  <si>
    <t>SST 150kV (5B5)</t>
  </si>
  <si>
    <t>PHT 500kV JAWA7 #2</t>
  </si>
  <si>
    <t>STG 1.0 (5A6)</t>
  </si>
  <si>
    <t>PHT 500KV KEMBANGAN</t>
  </si>
  <si>
    <t>5A1 DIAMETER#1 150kV</t>
  </si>
  <si>
    <t>PHT 500kV KEMBANGAN #1</t>
  </si>
  <si>
    <t>5A10 DIAMETER#10 150kV</t>
  </si>
  <si>
    <t>PHT 500kV KEMBANGAN #2</t>
  </si>
  <si>
    <t>5A11 DIAMETER#11 150kV</t>
  </si>
  <si>
    <t>PHT 500kV LENGKONG #1</t>
  </si>
  <si>
    <t>5A12 DIAMETER#12 150kV</t>
  </si>
  <si>
    <t>PHT 500kV LENGKONG #2</t>
  </si>
  <si>
    <t>5A2 DIAMETER#2 150kV</t>
  </si>
  <si>
    <t>PHT 500kV MUARAKARANG #1</t>
  </si>
  <si>
    <t>5A8 DIAMETER#8 150kV</t>
  </si>
  <si>
    <t>PHT 500kV MUARAKARANG #2</t>
  </si>
  <si>
    <t>5A9 DIAMETER#9 150kV</t>
  </si>
  <si>
    <t>PHT 500kV SURALAYA #1</t>
  </si>
  <si>
    <t>5AB1 DIAMETER#1 150kV</t>
  </si>
  <si>
    <t>PHT 500kV SURALAYA #2</t>
  </si>
  <si>
    <t>5AB10 DIAMETER#10 150kV</t>
  </si>
  <si>
    <t>5AB11 DIAMETER#11 150kV</t>
  </si>
  <si>
    <t>5AB12 DIAMETER#12 150kV</t>
  </si>
  <si>
    <t>5AB2 DIAMETER#2 150kV</t>
  </si>
  <si>
    <t>5AB8 DIAMETER#8 150kV</t>
  </si>
  <si>
    <t>5AB9 DIAMETER#9 150kV</t>
  </si>
  <si>
    <t>5B1 DIAMETER#1 150kV</t>
  </si>
  <si>
    <t>5B2 DIAMETER#2 150kV</t>
  </si>
  <si>
    <t>5B7 DIAMETER#7 150kV</t>
  </si>
  <si>
    <t>5B8 DIAMETER#8 150kV</t>
  </si>
  <si>
    <t>GTG 2.1 (5A9)</t>
  </si>
  <si>
    <t>GTG 2.2 (5A10)</t>
  </si>
  <si>
    <t>GTG 3.1 (5A4)</t>
  </si>
  <si>
    <t>PHT 150kV ANGKE#1 (5B1)</t>
  </si>
  <si>
    <t>PHT 150kV ANGKE#2 (5B2)</t>
  </si>
  <si>
    <t>PHT 150kV BUDIKEMULYAN#1 (5B5)</t>
  </si>
  <si>
    <t>PHT 150kV BUDIKEMULYAN#2 (5B6)</t>
  </si>
  <si>
    <t>PHT 150kV DURIKOSAMBI#1 (5B4)</t>
  </si>
  <si>
    <t>PHT 150kV DURIKOSAMBI#2 (5B3)</t>
  </si>
  <si>
    <t>PHT 150kV MUARAKARANG BARU#1 (A8)</t>
  </si>
  <si>
    <t>PHT 150kV MUARAKARANG BARU#2 (5B8)</t>
  </si>
  <si>
    <t>PLTU 4 (5A6)</t>
  </si>
  <si>
    <t>PLTU 5 (5A7)</t>
  </si>
  <si>
    <t>RAT 3 &amp; 4 (5B7)</t>
  </si>
  <si>
    <t>STG 2.1 (5A1)</t>
  </si>
  <si>
    <t>STG 2.2 (5A3)</t>
  </si>
  <si>
    <t>STG 2.3 (5A5)</t>
  </si>
  <si>
    <t>STG 3.1 (A2)</t>
  </si>
  <si>
    <t>UGC 150kV ANGKE #1 (5AB12)</t>
  </si>
  <si>
    <t>UGC 150kV ANGKE #2 (5AB11)</t>
  </si>
  <si>
    <t>PHT 150kV BALARAJA#1</t>
  </si>
  <si>
    <t>PHT 150kV BALARAJA#2</t>
  </si>
  <si>
    <t>PHT 150kV LONTAR#1</t>
  </si>
  <si>
    <t>PHT 150kV LONTAR#2</t>
  </si>
  <si>
    <t>PHT 150kV SUVARNA SUTERA#1</t>
  </si>
  <si>
    <t>PHT 150kV SUVARNA SUTERA#2</t>
  </si>
  <si>
    <t>PHT 150kV PLTU LONTAR#1</t>
  </si>
  <si>
    <t>PHT 150kV PLTU LONTAR#2</t>
  </si>
  <si>
    <t>KAPASITOR SC 150kV</t>
  </si>
  <si>
    <t>PHT 150kV SEPATAN#1</t>
  </si>
  <si>
    <t>PHT 150kV SEPATAN#2</t>
  </si>
  <si>
    <t>KOPEL BUS 150kV</t>
  </si>
  <si>
    <t>PHT 150kV PANTAI INDAH KAPUK#1</t>
  </si>
  <si>
    <t>PHT 150kV PANTAI INDAH KAPUK#2</t>
  </si>
  <si>
    <t>PHT 150 KV GROGOL#1</t>
  </si>
  <si>
    <t>PHT 150KV DURIKOSAMBI #1</t>
  </si>
  <si>
    <t>PHT 150KV DURIKOSAMBI #2</t>
  </si>
  <si>
    <t>PHT 150KV GROGOL#2</t>
  </si>
  <si>
    <t>PHT 150kV KARET BARU#1</t>
  </si>
  <si>
    <t>PHT 150kV KARET BARU#2</t>
  </si>
  <si>
    <t>PHT 150kV METLAND #2</t>
  </si>
  <si>
    <t>PHT 150kV NEW SENAYAN#1</t>
  </si>
  <si>
    <t>PHT 150kV NEW SENAYAN#2</t>
  </si>
  <si>
    <t>PHT 150kV PETUKANGAN#1</t>
  </si>
  <si>
    <t>PHT 150kV PETUKANGAN#2</t>
  </si>
  <si>
    <t>5B9 DIAMETER#9 150kV</t>
  </si>
  <si>
    <t>GT#1</t>
  </si>
  <si>
    <t>GT#2</t>
  </si>
  <si>
    <t>GT#3</t>
  </si>
  <si>
    <t>GT#4</t>
  </si>
  <si>
    <t>PHT 150kV SINDANG JAYA#1</t>
  </si>
  <si>
    <t>PHT 150kV SINDANG JAYA#2</t>
  </si>
  <si>
    <t>PHT 150kV TANGERANG BARU#1</t>
  </si>
  <si>
    <t>PHT 150kV TANGERANG BARU#2</t>
  </si>
  <si>
    <t>PHT 150kV TELUK NAGA#1</t>
  </si>
  <si>
    <t>PHT 150kV TELUK NAGA#2</t>
  </si>
  <si>
    <t>SST 150kV</t>
  </si>
  <si>
    <t>PHT 150KV KEMBANGAN #1</t>
  </si>
  <si>
    <t>PHT 150KV KEMBANGAN #2</t>
  </si>
  <si>
    <t>5A1 DIAMETER #1 150KV</t>
  </si>
  <si>
    <t>5A2 DIAMETER #2 150KV</t>
  </si>
  <si>
    <t>5A3 DIAMETER #3 150KV</t>
  </si>
  <si>
    <t>5A4 DIAMETER #4 150KV</t>
  </si>
  <si>
    <t>5A5 DIAMETER #5 150KV</t>
  </si>
  <si>
    <t>5A6 DIAMETER #6 150KV</t>
  </si>
  <si>
    <t>5A7 DIAMETER #7 150KV</t>
  </si>
  <si>
    <t>5A8 DIAMETER #8 150KV</t>
  </si>
  <si>
    <t>5AB1 DIAMETER #1 150KV</t>
  </si>
  <si>
    <t>5AB2 DIAMETER #2 150KV</t>
  </si>
  <si>
    <t>5AB3 DIAMETER #3 150KV</t>
  </si>
  <si>
    <t>5AB4 DIAMETER #4 150KV</t>
  </si>
  <si>
    <t>5AB5 DIAMETER #5 150KV</t>
  </si>
  <si>
    <t>5AB6 DIAMETER #6 150KV</t>
  </si>
  <si>
    <t>5AB7 DIAMETER #7 150KV</t>
  </si>
  <si>
    <t>5AB8 DIAMETER #8 150KV</t>
  </si>
  <si>
    <t>5B1 DIAMETER #1 150KV</t>
  </si>
  <si>
    <t>5B2 DIAMETER #2 150KV</t>
  </si>
  <si>
    <t>5B3 DIAMETER #3 150KV</t>
  </si>
  <si>
    <t>5B4 DIAMETER #4 150KV</t>
  </si>
  <si>
    <t>5B5 DIAMETER #5 150KV</t>
  </si>
  <si>
    <t>5B6 DIAMETER #6 150KV</t>
  </si>
  <si>
    <t>5B7 DIAMETER #7 150KV</t>
  </si>
  <si>
    <t>5B8 DIAMETER #8 150KV</t>
  </si>
  <si>
    <t>GT 1.1 (A8)</t>
  </si>
  <si>
    <t>GT 1.2 (A7)</t>
  </si>
  <si>
    <t>GT 1.3 (A6)</t>
  </si>
  <si>
    <t>IBT #1 500/150KV (LV)</t>
  </si>
  <si>
    <t>PHT 150kV MUARAKARANG BARU #1</t>
  </si>
  <si>
    <t>PHT 150kV MUARAKARANG BARU #2</t>
  </si>
  <si>
    <t>PHT 150kV PANTAI INDAH KAPUK #1</t>
  </si>
  <si>
    <t>PHT 150kV PANTAI INDAH KAPUK #2</t>
  </si>
  <si>
    <t>SST (A1)</t>
  </si>
  <si>
    <t>ST 1.0 (A5)</t>
  </si>
  <si>
    <t>PHT 150kV SENAYAN#1</t>
  </si>
  <si>
    <t>PHT 150kV SENAYAN#2</t>
  </si>
  <si>
    <t>PHT 150kV ULUJAMI#1</t>
  </si>
  <si>
    <t>PHT 150kV ULUJAMI#2</t>
  </si>
  <si>
    <t>PHT 150kV MUARAKARANG BARU#1</t>
  </si>
  <si>
    <t>PHT 150kV MUARAKARANG BARU#2</t>
  </si>
  <si>
    <t>KOPEL BUS 150kV </t>
  </si>
  <si>
    <t>PHT 150kV ALAM SUTERA#1 </t>
  </si>
  <si>
    <t>PHT 150kV ALAM SUTERA#2 </t>
  </si>
  <si>
    <t>PHT 150kV CURUG#1 </t>
  </si>
  <si>
    <t>PHT 150kV CURUG#2 </t>
  </si>
  <si>
    <t>PHT 150kV GROGOL #1</t>
  </si>
  <si>
    <t>PHT 150kV GROGOL #2</t>
  </si>
  <si>
    <t>7A1 DIAMETER#1 500kV</t>
  </si>
  <si>
    <t>7A2 DIAMETER#2 500kV</t>
  </si>
  <si>
    <t>7A3 DIAMETER#3 500kV</t>
  </si>
  <si>
    <t>7A4 DIAMETER#4 500kV</t>
  </si>
  <si>
    <t>7AB1 DIAMETER#1 500kV</t>
  </si>
  <si>
    <t>7AB2 DIAMETER#2 500kV</t>
  </si>
  <si>
    <t>7AB3 DIAMETER#3 500kV</t>
  </si>
  <si>
    <t>7AB4 DIAMETER#4 500kV</t>
  </si>
  <si>
    <t>7B1 DIAMETER#1 500kV</t>
  </si>
  <si>
    <t>7B2 DIAMETER#2 500kV</t>
  </si>
  <si>
    <t>7B3 DIAMETER#3 500kV</t>
  </si>
  <si>
    <t>7B4 DIAMETER#4 500kV</t>
  </si>
  <si>
    <t>BUSBAR A 500kV</t>
  </si>
  <si>
    <t>BUSBAR B 500kV</t>
  </si>
  <si>
    <t>IBT#1 500/150kV (HV)</t>
  </si>
  <si>
    <t>IBT#2 500/150kV (HV)</t>
  </si>
  <si>
    <t>PHT 500kV GANDUL</t>
  </si>
  <si>
    <t>PHT 500kV KEMBANGAN</t>
  </si>
  <si>
    <t>PHT 500kV BALARAJA#1</t>
  </si>
  <si>
    <t>PHT 500kV BALARAJA#2</t>
  </si>
  <si>
    <t>PHT 500kV DURIKOSAMBI#2 (7A4)</t>
  </si>
  <si>
    <t>PHT 500kV GANDUL#1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</si>
</sst>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8">
    <font>
      <sz val="10.0"/>
      <color rgb="FF000000"/>
      <name val="Arial"/>
      <scheme val="minor"/>
    </font>
    <font>
      <sz val="10.0"/>
      <color rgb="FF000000"/>
      <name val="Calibri"/>
    </font>
    <font>
      <color rgb="FF000000"/>
      <name val="Calibri"/>
    </font>
    <font>
      <sz val="10.0"/>
      <color rgb="FF1C4587"/>
      <name val="Calibri"/>
    </font>
    <font>
      <b/>
      <sz val="10.0"/>
      <color rgb="FFFFFFFF"/>
      <name val="Arial"/>
    </font>
    <font>
      <b/>
      <sz val="10.0"/>
      <color rgb="FFFFFFFF"/>
      <name val="Calibri"/>
    </font>
    <font>
      <color theme="1"/>
      <name val="Arial"/>
      <scheme val="minor"/>
    </font>
    <font>
      <u/>
      <sz val="10.0"/>
      <color rgb="FF1C4587"/>
      <name val="Calibri"/>
    </font>
    <font>
      <u/>
      <sz val="10.0"/>
      <color rgb="FF1C4587"/>
      <name val="Calibri"/>
    </font>
    <font>
      <u/>
      <sz val="10.0"/>
      <color rgb="FF1C4587"/>
      <name val="Calibri"/>
    </font>
    <font>
      <color theme="1"/>
      <name val="Calibri"/>
    </font>
    <font>
      <sz val="10.0"/>
      <color theme="1"/>
      <name val="Calibri"/>
    </font>
    <font>
      <u/>
      <sz val="10.0"/>
      <color rgb="FF1C4587"/>
      <name val="Calibri"/>
    </font>
    <font>
      <u/>
      <sz val="10.0"/>
      <color rgb="FF1C4587"/>
      <name val="Calibri"/>
    </font>
    <font>
      <u/>
      <sz val="10.0"/>
      <color rgb="FF1C4587"/>
      <name val="Calibri"/>
    </font>
    <font>
      <u/>
      <sz val="10.0"/>
      <color rgb="FF1C4587"/>
      <name val="Calibri"/>
    </font>
    <font>
      <u/>
      <sz val="10.0"/>
      <color rgb="FF1155CC"/>
      <name val="Calibri"/>
    </font>
    <font>
      <b/>
      <sz val="10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u/>
      <color rgb="FF1155CC"/>
      <name val="Calibri"/>
    </font>
    <font>
      <u/>
      <color rgb="FF0000FF"/>
      <name val="Calibri"/>
    </font>
    <font>
      <u/>
      <color rgb="FF1155CC"/>
      <name val="Calibri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76A5AF"/>
        <bgColor rgb="FF76A5AF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3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</border>
    <border>
      <right style="medium">
        <color rgb="FFCCCCCC"/>
      </right>
      <top style="medium">
        <color rgb="FFCCCCCC"/>
      </top>
    </border>
    <border>
      <left style="medium">
        <color rgb="FFD9D9D9"/>
      </left>
      <right style="medium">
        <color rgb="FFD9D9D9"/>
      </right>
      <top style="medium">
        <color rgb="FFD9D9D9"/>
      </top>
    </border>
    <border>
      <left style="medium">
        <color rgb="FFB7B7B7"/>
      </left>
      <right style="medium">
        <color rgb="FFB7B7B7"/>
      </right>
      <top style="medium">
        <color rgb="FFB7B7B7"/>
      </top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vertical="center"/>
    </xf>
    <xf borderId="3" fillId="0" fontId="1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readingOrder="0" shrinkToFit="0" vertical="bottom" wrapText="0"/>
    </xf>
    <xf borderId="3" fillId="0" fontId="1" numFmtId="164" xfId="0" applyAlignment="1" applyBorder="1" applyFont="1" applyNumberFormat="1">
      <alignment horizontal="center" readingOrder="0" shrinkToFit="0" vertical="bottom" wrapText="0"/>
    </xf>
    <xf borderId="3" fillId="3" fontId="7" numFmtId="0" xfId="0" applyAlignment="1" applyBorder="1" applyFill="1" applyFont="1">
      <alignment horizontal="center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readingOrder="0" shrinkToFit="0" vertical="bottom" wrapText="0"/>
    </xf>
    <xf borderId="5" fillId="0" fontId="1" numFmtId="164" xfId="0" applyAlignment="1" applyBorder="1" applyFont="1" applyNumberFormat="1">
      <alignment horizontal="center" readingOrder="0" shrinkToFit="0" vertical="bottom" wrapText="0"/>
    </xf>
    <xf borderId="5" fillId="3" fontId="8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5" fillId="3" fontId="9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readingOrder="0"/>
    </xf>
    <xf borderId="5" fillId="0" fontId="11" numFmtId="0" xfId="0" applyAlignment="1" applyBorder="1" applyFont="1">
      <alignment horizontal="center" readingOrder="0"/>
    </xf>
    <xf borderId="5" fillId="0" fontId="1" numFmtId="164" xfId="0" applyAlignment="1" applyBorder="1" applyFont="1" applyNumberFormat="1">
      <alignment horizontal="center" readingOrder="0"/>
    </xf>
    <xf borderId="5" fillId="3" fontId="12" numFmtId="0" xfId="0" applyAlignment="1" applyBorder="1" applyFont="1">
      <alignment horizontal="center" readingOrder="0"/>
    </xf>
    <xf borderId="5" fillId="3" fontId="13" numFmtId="0" xfId="0" applyAlignment="1" applyBorder="1" applyFont="1">
      <alignment horizontal="center"/>
    </xf>
    <xf borderId="6" fillId="0" fontId="10" numFmtId="0" xfId="0" applyAlignment="1" applyBorder="1" applyFont="1">
      <alignment readingOrder="0"/>
    </xf>
    <xf borderId="5" fillId="3" fontId="3" numFmtId="0" xfId="0" applyAlignment="1" applyBorder="1" applyFont="1">
      <alignment horizontal="center"/>
    </xf>
    <xf borderId="5" fillId="0" fontId="6" numFmtId="0" xfId="0" applyBorder="1" applyFont="1"/>
    <xf borderId="5" fillId="0" fontId="11" numFmtId="14" xfId="0" applyAlignment="1" applyBorder="1" applyFont="1" applyNumberFormat="1">
      <alignment horizontal="center" readingOrder="0"/>
    </xf>
    <xf borderId="5" fillId="0" fontId="11" numFmtId="164" xfId="0" applyAlignment="1" applyBorder="1" applyFont="1" applyNumberFormat="1">
      <alignment horizontal="center" readingOrder="0"/>
    </xf>
    <xf borderId="6" fillId="0" fontId="10" numFmtId="0" xfId="0" applyBorder="1" applyFont="1"/>
    <xf borderId="0" fillId="0" fontId="6" numFmtId="0" xfId="0" applyAlignment="1" applyFont="1">
      <alignment readingOrder="0"/>
    </xf>
    <xf borderId="5" fillId="0" fontId="14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5" fillId="0" fontId="16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7" fillId="0" fontId="11" numFmtId="0" xfId="0" applyAlignment="1" applyBorder="1" applyFont="1">
      <alignment horizontal="center" readingOrder="0"/>
    </xf>
    <xf borderId="7" fillId="0" fontId="10" numFmtId="0" xfId="0" applyAlignment="1" applyBorder="1" applyFont="1">
      <alignment readingOrder="0"/>
    </xf>
    <xf borderId="7" fillId="0" fontId="11" numFmtId="14" xfId="0" applyAlignment="1" applyBorder="1" applyFont="1" applyNumberFormat="1">
      <alignment horizontal="center" readingOrder="0"/>
    </xf>
    <xf borderId="7" fillId="0" fontId="1" numFmtId="0" xfId="0" applyAlignment="1" applyBorder="1" applyFont="1">
      <alignment horizontal="center"/>
    </xf>
    <xf borderId="8" fillId="0" fontId="11" numFmtId="0" xfId="0" applyAlignment="1" applyBorder="1" applyFont="1">
      <alignment horizontal="center" readingOrder="0"/>
    </xf>
    <xf borderId="8" fillId="0" fontId="10" numFmtId="0" xfId="0" applyAlignment="1" applyBorder="1" applyFont="1">
      <alignment readingOrder="0"/>
    </xf>
    <xf borderId="8" fillId="0" fontId="11" numFmtId="14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horizontal="center"/>
    </xf>
    <xf borderId="9" fillId="0" fontId="6" numFmtId="0" xfId="0" applyBorder="1" applyFont="1"/>
    <xf borderId="10" fillId="0" fontId="11" numFmtId="0" xfId="0" applyAlignment="1" applyBorder="1" applyFont="1">
      <alignment horizontal="center" readingOrder="0"/>
    </xf>
    <xf borderId="10" fillId="0" fontId="10" numFmtId="0" xfId="0" applyAlignment="1" applyBorder="1" applyFont="1">
      <alignment readingOrder="0"/>
    </xf>
    <xf borderId="10" fillId="0" fontId="11" numFmtId="14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horizontal="center"/>
    </xf>
    <xf borderId="10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8" fillId="0" fontId="6" numFmtId="0" xfId="0" applyBorder="1" applyFont="1"/>
    <xf borderId="10" fillId="0" fontId="6" numFmtId="0" xfId="0" applyBorder="1" applyFont="1"/>
    <xf borderId="5" fillId="0" fontId="11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readingOrder="0" vertical="center"/>
    </xf>
    <xf borderId="5" fillId="0" fontId="10" numFmtId="0" xfId="0" applyAlignment="1" applyBorder="1" applyFont="1">
      <alignment readingOrder="0" shrinkToFit="0" vertical="center" wrapText="1"/>
    </xf>
    <xf borderId="5" fillId="0" fontId="11" numFmtId="1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vertical="center"/>
    </xf>
    <xf borderId="5" fillId="0" fontId="11" numFmtId="0" xfId="0" applyAlignment="1" applyBorder="1" applyFont="1">
      <alignment horizontal="center"/>
    </xf>
    <xf borderId="5" fillId="0" fontId="10" numFmtId="0" xfId="0" applyBorder="1" applyFont="1"/>
    <xf borderId="0" fillId="0" fontId="11" numFmtId="0" xfId="0" applyAlignment="1" applyFont="1">
      <alignment horizontal="center"/>
    </xf>
    <xf borderId="0" fillId="0" fontId="10" numFmtId="0" xfId="0" applyFont="1"/>
    <xf borderId="0" fillId="0" fontId="1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4" fontId="17" numFmtId="9" xfId="0" applyAlignment="1" applyFill="1" applyFont="1" applyNumberFormat="1">
      <alignment horizontal="center"/>
    </xf>
    <xf borderId="0" fillId="0" fontId="18" numFmtId="0" xfId="0" applyAlignment="1" applyFont="1">
      <alignment horizontal="center" readingOrder="0" vertical="center"/>
    </xf>
    <xf borderId="11" fillId="5" fontId="19" numFmtId="0" xfId="0" applyAlignment="1" applyBorder="1" applyFill="1" applyFont="1">
      <alignment horizontal="center" shrinkToFit="0" vertical="center" wrapText="1"/>
    </xf>
    <xf borderId="11" fillId="5" fontId="1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/>
    </xf>
    <xf borderId="0" fillId="0" fontId="10" numFmtId="14" xfId="0" applyAlignment="1" applyFont="1" applyNumberFormat="1">
      <alignment horizontal="center" readingOrder="0"/>
    </xf>
    <xf borderId="0" fillId="0" fontId="10" numFmtId="0" xfId="0" applyAlignment="1" applyFont="1">
      <alignment readingOrder="0" shrinkToFit="0" wrapText="0"/>
    </xf>
    <xf borderId="8" fillId="0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readingOrder="0" vertical="center"/>
    </xf>
    <xf quotePrefix="1" borderId="12" fillId="0" fontId="10" numFmtId="0" xfId="0" applyAlignment="1" applyBorder="1" applyFont="1">
      <alignment horizontal="center" readingOrder="0" vertical="center"/>
    </xf>
    <xf borderId="12" fillId="0" fontId="10" numFmtId="14" xfId="0" applyAlignment="1" applyBorder="1" applyFont="1" applyNumberFormat="1">
      <alignment horizontal="center" readingOrder="0" vertical="center"/>
    </xf>
    <xf borderId="12" fillId="0" fontId="20" numFmtId="0" xfId="0" applyAlignment="1" applyBorder="1" applyFont="1">
      <alignment horizontal="center" readingOrder="0" vertical="center"/>
    </xf>
    <xf borderId="12" fillId="0" fontId="10" numFmtId="0" xfId="0" applyAlignment="1" applyBorder="1" applyFont="1">
      <alignment readingOrder="0" shrinkToFit="0" vertical="center" wrapText="0"/>
    </xf>
    <xf borderId="12" fillId="0" fontId="10" numFmtId="0" xfId="0" applyAlignment="1" applyBorder="1" applyFont="1">
      <alignment vertical="center"/>
    </xf>
    <xf borderId="12" fillId="0" fontId="10" numFmtId="0" xfId="0" applyAlignment="1" applyBorder="1" applyFont="1">
      <alignment horizontal="center" readingOrder="0" vertical="center"/>
    </xf>
    <xf borderId="12" fillId="0" fontId="21" numFmtId="0" xfId="0" applyAlignment="1" applyBorder="1" applyFont="1">
      <alignment horizontal="center" readingOrder="0" vertical="center"/>
    </xf>
    <xf borderId="12" fillId="0" fontId="10" numFmtId="0" xfId="0" applyAlignment="1" applyBorder="1" applyFont="1">
      <alignment horizontal="center" vertical="center"/>
    </xf>
    <xf borderId="12" fillId="6" fontId="10" numFmtId="0" xfId="0" applyAlignment="1" applyBorder="1" applyFill="1" applyFont="1">
      <alignment horizontal="center" readingOrder="0" vertical="center"/>
    </xf>
    <xf borderId="12" fillId="6" fontId="10" numFmtId="0" xfId="0" applyAlignment="1" applyBorder="1" applyFont="1">
      <alignment readingOrder="0" vertical="center"/>
    </xf>
    <xf quotePrefix="1" borderId="12" fillId="6" fontId="10" numFmtId="0" xfId="0" applyAlignment="1" applyBorder="1" applyFont="1">
      <alignment horizontal="center" readingOrder="0" vertical="center"/>
    </xf>
    <xf borderId="12" fillId="6" fontId="10" numFmtId="14" xfId="0" applyAlignment="1" applyBorder="1" applyFont="1" applyNumberFormat="1">
      <alignment horizontal="center" readingOrder="0" vertical="center"/>
    </xf>
    <xf borderId="12" fillId="6" fontId="22" numFmtId="0" xfId="0" applyAlignment="1" applyBorder="1" applyFont="1">
      <alignment horizontal="center" readingOrder="0" vertical="center"/>
    </xf>
    <xf borderId="12" fillId="6" fontId="10" numFmtId="0" xfId="0" applyAlignment="1" applyBorder="1" applyFont="1">
      <alignment vertical="center"/>
    </xf>
    <xf borderId="0" fillId="0" fontId="23" numFmtId="0" xfId="0" applyAlignment="1" applyFont="1">
      <alignment horizontal="center" readingOrder="0" vertical="center"/>
    </xf>
    <xf borderId="11" fillId="7" fontId="24" numFmtId="0" xfId="0" applyAlignment="1" applyBorder="1" applyFill="1" applyFont="1">
      <alignment horizontal="center" shrinkToFit="0" vertical="center" wrapText="1"/>
    </xf>
    <xf borderId="11" fillId="7" fontId="2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/>
    </xf>
    <xf borderId="0" fillId="0" fontId="6" numFmtId="14" xfId="0" applyAlignment="1" applyFont="1" applyNumberFormat="1">
      <alignment horizontal="center" readingOrder="0"/>
    </xf>
    <xf borderId="0" fillId="0" fontId="6" numFmtId="0" xfId="0" applyAlignment="1" applyFont="1">
      <alignment readingOrder="0" shrinkToFit="0" wrapText="0"/>
    </xf>
    <xf borderId="8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readingOrder="0" vertical="center"/>
    </xf>
    <xf quotePrefix="1" borderId="12" fillId="0" fontId="6" numFmtId="0" xfId="0" applyAlignment="1" applyBorder="1" applyFont="1">
      <alignment horizontal="center" readingOrder="0" vertical="center"/>
    </xf>
    <xf borderId="12" fillId="0" fontId="6" numFmtId="14" xfId="0" applyAlignment="1" applyBorder="1" applyFont="1" applyNumberFormat="1">
      <alignment horizontal="center" readingOrder="0" vertical="center"/>
    </xf>
    <xf borderId="12" fillId="0" fontId="6" numFmtId="0" xfId="0" applyAlignment="1" applyBorder="1" applyFont="1">
      <alignment horizontal="center" readingOrder="0" shrinkToFit="0" vertical="center" wrapText="0"/>
    </xf>
    <xf borderId="12" fillId="0" fontId="6" numFmtId="0" xfId="0" applyAlignment="1" applyBorder="1" applyFont="1">
      <alignment readingOrder="0" shrinkToFit="0" vertical="center" wrapText="0"/>
    </xf>
    <xf borderId="12" fillId="0" fontId="6" numFmtId="0" xfId="0" applyAlignment="1" applyBorder="1" applyFont="1">
      <alignment vertical="center"/>
    </xf>
    <xf borderId="12" fillId="0" fontId="6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 vertical="center"/>
    </xf>
    <xf borderId="0" fillId="0" fontId="25" numFmtId="0" xfId="0" applyAlignment="1" applyFont="1">
      <alignment readingOrder="0"/>
    </xf>
    <xf borderId="0" fillId="8" fontId="6" numFmtId="0" xfId="0" applyAlignment="1" applyFill="1" applyFont="1">
      <alignment readingOrder="0"/>
    </xf>
    <xf borderId="0" fillId="3" fontId="6" numFmtId="0" xfId="0" applyAlignment="1" applyFont="1">
      <alignment readingOrder="0" vertical="bottom"/>
    </xf>
    <xf borderId="0" fillId="0" fontId="26" numFmtId="0" xfId="0" applyAlignment="1" applyFont="1">
      <alignment readingOrder="0"/>
    </xf>
    <xf borderId="0" fillId="0" fontId="27" numFmtId="0" xfId="0" applyAlignment="1" applyFont="1">
      <alignment horizontal="left" vertical="bottom"/>
    </xf>
    <xf borderId="0" fillId="0" fontId="26" numFmtId="0" xfId="0" applyFont="1"/>
    <xf borderId="0" fillId="3" fontId="27" numFmtId="0" xfId="0" applyAlignment="1" applyFont="1">
      <alignment horizontal="left" vertical="bottom"/>
    </xf>
    <xf borderId="0" fillId="0" fontId="2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fti Hanifah" id="{13a417d5-97ee-4a69-8355-0020749635e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41" dT="2021-04-10T15:09:24.00" personId="{13a417d5-97ee-4a69-8355-0020749635e3}" id="{0198c279-2fd8-431c-af2d-8b50c4d0f9f9}" done="0">
    <x18tc:text xml:space="preserve">batal, ketidaksesuaian acuan impedansi dari vendor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__ZE2ESGOgAatXaXrrhLiqCYz6-sSns4/view?usp=sharing" TargetMode="External"/><Relationship Id="rId20" Type="http://schemas.openxmlformats.org/officeDocument/2006/relationships/hyperlink" Target="https://drive.google.com/file/d/16ywzdhoUd5mvz_4aHkIM8tlxhSRLfmu7/view?usp=sharing" TargetMode="External"/><Relationship Id="rId42" Type="http://schemas.openxmlformats.org/officeDocument/2006/relationships/hyperlink" Target="https://drive.google.com/file/d/1w0aHmSwtCg2Jdi5VvruwkvDqTq-TzyEf/view?usp=sharing" TargetMode="External"/><Relationship Id="rId41" Type="http://schemas.openxmlformats.org/officeDocument/2006/relationships/hyperlink" Target="https://drive.google.com/file/d/1QjRg02ilf_t3-m5Y7rVDb_mSvxWNbfPw/view?usp=sharing" TargetMode="External"/><Relationship Id="rId22" Type="http://schemas.openxmlformats.org/officeDocument/2006/relationships/hyperlink" Target="https://drive.google.com/file/d/1sWWeJTTd90p863olOl5Vss0IYKs2rzT1/view?usp=sharing" TargetMode="External"/><Relationship Id="rId44" Type="http://schemas.openxmlformats.org/officeDocument/2006/relationships/vmlDrawing" Target="../drawings/vmlDrawing1.vml"/><Relationship Id="rId21" Type="http://schemas.openxmlformats.org/officeDocument/2006/relationships/hyperlink" Target="https://drive.google.com/file/d/1szrltgRgyrhQmU4vuDtY13-UBYwnhCi_/view?usp=sharing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drive.google.com/file/d/16mVm9mZG5aVysbCHkCTkhTQwFPJuN8T5/view?usp=sharing" TargetMode="External"/><Relationship Id="rId23" Type="http://schemas.openxmlformats.org/officeDocument/2006/relationships/hyperlink" Target="https://drive.google.com/file/d/1nAknL0dtEQxrQ7fFqUNNqeBuJtXJbFWo/view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ZwP9X6ejwHoOM_HHazXL4BX3eNAiMulj/view?usp=sharing" TargetMode="External"/><Relationship Id="rId9" Type="http://schemas.openxmlformats.org/officeDocument/2006/relationships/hyperlink" Target="https://drive.google.com/file/d/1dIlGiBI-giaiH81Q2qIWLCqgWHjqktZh/view?usp=sharing" TargetMode="External"/><Relationship Id="rId26" Type="http://schemas.openxmlformats.org/officeDocument/2006/relationships/hyperlink" Target="https://drive.google.com/file/d/1ef6CC1LDtvFmEQLC1qsvtdHkqt7Mrm_i/view?usp=sharing" TargetMode="External"/><Relationship Id="rId25" Type="http://schemas.openxmlformats.org/officeDocument/2006/relationships/hyperlink" Target="https://drive.google.com/file/d/1iI6rieB28MV_4u4sPoRE5uUvR_7MdMld/view?usp=sharing" TargetMode="External"/><Relationship Id="rId28" Type="http://schemas.openxmlformats.org/officeDocument/2006/relationships/hyperlink" Target="https://drive.google.com/file/d/1qbVeZtoJxx-oBJDUqoRNYk01KDecJTKT/view?usp=sharing" TargetMode="External"/><Relationship Id="rId27" Type="http://schemas.openxmlformats.org/officeDocument/2006/relationships/hyperlink" Target="https://drive.google.com/file/d/16CQsD71fXWHawc0P7fz9WRfsBAY6Z6tG/view?usp=sharing" TargetMode="External"/><Relationship Id="rId5" Type="http://schemas.openxmlformats.org/officeDocument/2006/relationships/hyperlink" Target="https://drive.google.com/file/d/1ZwP9X6ejwHoOM_HHazXL4BX3eNAiMulj/view?usp=sharing" TargetMode="External"/><Relationship Id="rId6" Type="http://schemas.openxmlformats.org/officeDocument/2006/relationships/hyperlink" Target="https://drive.google.com/open?id=1XLIV-fkq6gTM2DnWAKEbhOSJ1a6bpjBd" TargetMode="External"/><Relationship Id="rId29" Type="http://schemas.openxmlformats.org/officeDocument/2006/relationships/hyperlink" Target="https://drive.google.com/file/d/1Hd1HBd-rWswNZl9gDtt1JUUC2gVSweK7/view?usp=sharing" TargetMode="External"/><Relationship Id="rId7" Type="http://schemas.openxmlformats.org/officeDocument/2006/relationships/hyperlink" Target="https://drive.google.com/file/d/1Zlbjzl8HRhrF3yFl6T8LRfsBQ73cvms1/view?usp=sharing" TargetMode="External"/><Relationship Id="rId8" Type="http://schemas.openxmlformats.org/officeDocument/2006/relationships/hyperlink" Target="https://drive.google.com/file/d/1Z_KTqE8SpDnYSJUPukQqk5nyQzvlgWDc/view?usp=sharing" TargetMode="External"/><Relationship Id="rId31" Type="http://schemas.openxmlformats.org/officeDocument/2006/relationships/hyperlink" Target="https://drive.google.com/file/d/1ADO0kPGzthzc7uzN8k9D5rCugRt5HjpF/view?usp=sharing" TargetMode="External"/><Relationship Id="rId30" Type="http://schemas.openxmlformats.org/officeDocument/2006/relationships/hyperlink" Target="https://drive.google.com/file/d/1wK77parAUkK3v9ryLC4VnqrSwNmC4NH9/view?usp=sharing" TargetMode="External"/><Relationship Id="rId11" Type="http://schemas.openxmlformats.org/officeDocument/2006/relationships/hyperlink" Target="https://drive.google.com/file/d/1tTdjKAmsZA5BKJQk7JY1WCwLJJiqQua0/view?usp=sharing" TargetMode="External"/><Relationship Id="rId33" Type="http://schemas.openxmlformats.org/officeDocument/2006/relationships/hyperlink" Target="https://drive.google.com/file/d/1uCTTocnH9LofXOHFH6DuxsIskbqDblkI/view?usp=sharing" TargetMode="External"/><Relationship Id="rId10" Type="http://schemas.openxmlformats.org/officeDocument/2006/relationships/hyperlink" Target="https://drive.google.com/file/d/1jpk4YLH9KW3A-djaN69RkVN7Vu-NP2iA/view?usp=sharing" TargetMode="External"/><Relationship Id="rId32" Type="http://schemas.openxmlformats.org/officeDocument/2006/relationships/hyperlink" Target="https://drive.google.com/file/d/1hSNRQ6xLo5M6kymqPfRqIflF_EFDTADF/view?usp=sharing" TargetMode="External"/><Relationship Id="rId13" Type="http://schemas.openxmlformats.org/officeDocument/2006/relationships/hyperlink" Target="https://drive.google.com/file/d/1F0SY9KJNvK57m04Qw62okTXBPnLZszgY/view?usp=sharing" TargetMode="External"/><Relationship Id="rId35" Type="http://schemas.openxmlformats.org/officeDocument/2006/relationships/hyperlink" Target="https://drive.google.com/file/d/1bEK0gbnZSdyReGm7p3ZBqtisGXBaabKQ/view?usp=sharing" TargetMode="External"/><Relationship Id="rId12" Type="http://schemas.openxmlformats.org/officeDocument/2006/relationships/hyperlink" Target="https://drive.google.com/file/d/1zQXhBIjK-7UpdwrrSQLGH4o3jefSI_lP/view?usp=sharing" TargetMode="External"/><Relationship Id="rId34" Type="http://schemas.openxmlformats.org/officeDocument/2006/relationships/hyperlink" Target="https://drive.google.com/file/d/1SICiBzsvdmf8KRBwmAHERFun6cX08bJ7/view?usp=sharing" TargetMode="External"/><Relationship Id="rId15" Type="http://schemas.openxmlformats.org/officeDocument/2006/relationships/hyperlink" Target="https://drive.google.com/file/d/1jHtqzyD8NOffFfvFP9ZuYqR1upPU3IVl/view?usp=sharing" TargetMode="External"/><Relationship Id="rId37" Type="http://schemas.openxmlformats.org/officeDocument/2006/relationships/hyperlink" Target="https://drive.google.com/file/d/1E08ymPBSpMrBj-vYSLjkBR0gVmeZEoY2/view?usp=sharing" TargetMode="External"/><Relationship Id="rId14" Type="http://schemas.openxmlformats.org/officeDocument/2006/relationships/hyperlink" Target="https://drive.google.com/file/d/199WaK_brEngkANdQBtGu_AcpcfQPCP5o/view?usp=sharing" TargetMode="External"/><Relationship Id="rId36" Type="http://schemas.openxmlformats.org/officeDocument/2006/relationships/hyperlink" Target="https://drive.google.com/file/d/1iaUnKfW8hDBOiu-Y_evFo2MexlDSiNWw/view?usp=sharing" TargetMode="External"/><Relationship Id="rId17" Type="http://schemas.openxmlformats.org/officeDocument/2006/relationships/hyperlink" Target="https://drive.google.com/file/d/1-k65laP366qVVV0Cwo7yqg7GyUz9kyn0/view?usp=sharing" TargetMode="External"/><Relationship Id="rId39" Type="http://schemas.openxmlformats.org/officeDocument/2006/relationships/hyperlink" Target="https://drive.google.com/file/d/1IWVN8M1qTDIYt8-_ImYXNc8nF0Zxm4za/view?usp=sharing" TargetMode="External"/><Relationship Id="rId16" Type="http://schemas.openxmlformats.org/officeDocument/2006/relationships/hyperlink" Target="https://drive.google.com/file/d/1kIIVDV868Wm6S5-HIF_akbgGvGUFPV9n/view?usp=sharing" TargetMode="External"/><Relationship Id="rId38" Type="http://schemas.openxmlformats.org/officeDocument/2006/relationships/hyperlink" Target="https://drive.google.com/file/d/1oVe83LrGSnthQeIF8AP3ewuNjJnmJcd_/view?usp=sharing" TargetMode="External"/><Relationship Id="rId19" Type="http://schemas.openxmlformats.org/officeDocument/2006/relationships/hyperlink" Target="https://drive.google.com/file/d/1BmlmjkvfliWq_JbSdz8N6gib6H_Hh7Wk/view?usp=sharing" TargetMode="External"/><Relationship Id="rId18" Type="http://schemas.openxmlformats.org/officeDocument/2006/relationships/hyperlink" Target="https://drive.google.com/file/d/1HiB-HjiubakvZ-mnUC-dhb4X7dL3dKmE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yuGd2Y7mm9FLGrwospMcbMInbIedE7J/view?usp=sharing" TargetMode="External"/><Relationship Id="rId2" Type="http://schemas.openxmlformats.org/officeDocument/2006/relationships/hyperlink" Target="https://drive.google.com/file/d/1sICX96elhtUMDLvFUGZfHkZCyDqXly0d/view?usp=sharing" TargetMode="External"/><Relationship Id="rId3" Type="http://schemas.openxmlformats.org/officeDocument/2006/relationships/hyperlink" Target="https://drive.google.com/file/d/1sICX96elhtUMDLvFUGZfHkZCyDqXly0d/view?usp=sharing" TargetMode="External"/><Relationship Id="rId4" Type="http://schemas.openxmlformats.org/officeDocument/2006/relationships/hyperlink" Target="https://drive.google.com/file/d/1Q49IsgYv5FmhKD15JzJJVd8hu1QMl6bQ/view?usp=sharing" TargetMode="External"/><Relationship Id="rId9" Type="http://schemas.openxmlformats.org/officeDocument/2006/relationships/hyperlink" Target="https://drive.google.com/file/d/1grnH9sybk9RRyE78KpjjIR5edC7QjQpQ/view?usp=sharing" TargetMode="External"/><Relationship Id="rId5" Type="http://schemas.openxmlformats.org/officeDocument/2006/relationships/hyperlink" Target="https://drive.google.com/file/d/1Q49IsgYv5FmhKD15JzJJVd8hu1QMl6bQ/view?usp=sharing" TargetMode="External"/><Relationship Id="rId6" Type="http://schemas.openxmlformats.org/officeDocument/2006/relationships/hyperlink" Target="https://drive.google.com/file/d/1VhZ7KGug06p5e_WILUY9zeu2X7sm-QN7/view?usp=sharing" TargetMode="External"/><Relationship Id="rId7" Type="http://schemas.openxmlformats.org/officeDocument/2006/relationships/hyperlink" Target="https://drive.google.com/file/d/1a-CNSo5twqt8MeNoykMbwcQFdpNUkQNX/view?usp=sharing" TargetMode="External"/><Relationship Id="rId8" Type="http://schemas.openxmlformats.org/officeDocument/2006/relationships/hyperlink" Target="https://drive.google.com/file/d/1SOLS8heCU36ZBcJ2DEcyhXMIKlwpcVQT/view?usp=sharing" TargetMode="External"/><Relationship Id="rId11" Type="http://schemas.openxmlformats.org/officeDocument/2006/relationships/hyperlink" Target="https://drive.google.com/file/d/1LYrwey_RxH2yDqaQV9hEOckNJOVZXsSL/view?usp=sharing" TargetMode="External"/><Relationship Id="rId10" Type="http://schemas.openxmlformats.org/officeDocument/2006/relationships/hyperlink" Target="https://drive.google.com/file/d/1LYrwey_RxH2yDqaQV9hEOckNJOVZXsSL/view?usp=sharing" TargetMode="External"/><Relationship Id="rId13" Type="http://schemas.openxmlformats.org/officeDocument/2006/relationships/hyperlink" Target="https://drive.google.com/file/d/1XyVSfzpw242j1X1yaJlbyMYtit0LawOZ/view?usp=sharing" TargetMode="External"/><Relationship Id="rId12" Type="http://schemas.openxmlformats.org/officeDocument/2006/relationships/hyperlink" Target="https://drive.google.com/file/d/1XyVSfzpw242j1X1yaJlbyMYtit0LawOZ/view?usp=sharing" TargetMode="External"/><Relationship Id="rId15" Type="http://schemas.openxmlformats.org/officeDocument/2006/relationships/hyperlink" Target="https://drive.google.com/file/d/1c9yd66Xr2WgBgH6HmpFxBCrN6HuE_IhK/view?usp=sharing" TargetMode="External"/><Relationship Id="rId14" Type="http://schemas.openxmlformats.org/officeDocument/2006/relationships/hyperlink" Target="https://drive.google.com/file/d/1Dn-xPO0aGciVW1W3FW3hXXf9ytsJ7LIi/view?usp=sharing" TargetMode="External"/><Relationship Id="rId1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19.0"/>
    <col customWidth="1" min="3" max="3" width="20.63"/>
    <col customWidth="1" min="4" max="4" width="16.25"/>
    <col customWidth="1" min="5" max="5" width="18.88"/>
    <col customWidth="1" min="6" max="6" width="7.5"/>
    <col customWidth="1" min="7" max="7" width="13.0"/>
    <col customWidth="1" min="8" max="8" width="11.75"/>
    <col customWidth="1" min="9" max="9" width="41.5"/>
    <col customWidth="1" min="10" max="10" width="9.75"/>
  </cols>
  <sheetData>
    <row r="1">
      <c r="A1" s="1"/>
      <c r="B1" s="2"/>
      <c r="C1" s="2"/>
      <c r="D1" s="2"/>
      <c r="E1" s="2"/>
      <c r="F1" s="1"/>
      <c r="G1" s="3"/>
      <c r="H1" s="3"/>
      <c r="I1" s="2"/>
    </row>
    <row r="2" ht="39.0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6" t="s">
        <v>7</v>
      </c>
      <c r="I2" s="4" t="s">
        <v>8</v>
      </c>
      <c r="J2" s="7" t="s">
        <v>9</v>
      </c>
      <c r="K2" s="8"/>
    </row>
    <row r="3">
      <c r="A3" s="9">
        <v>1.0</v>
      </c>
      <c r="B3" s="10" t="s">
        <v>10</v>
      </c>
      <c r="C3" s="10" t="s">
        <v>11</v>
      </c>
      <c r="D3" s="10" t="s">
        <v>12</v>
      </c>
      <c r="E3" s="10" t="s">
        <v>13</v>
      </c>
      <c r="F3" s="9">
        <v>1.0</v>
      </c>
      <c r="G3" s="11">
        <v>43678.0</v>
      </c>
      <c r="H3" s="12" t="str">
        <f>HYPERLINK("https://drive.google.com/open?id=1cVV-kqCGa6VDy1NvwJ1-hUrdUfWLIbKd","LINK")</f>
        <v>LINK</v>
      </c>
      <c r="I3" s="13" t="s">
        <v>14</v>
      </c>
      <c r="J3" s="14" t="b">
        <v>1</v>
      </c>
    </row>
    <row r="4">
      <c r="A4" s="15">
        <v>2.0</v>
      </c>
      <c r="B4" s="16" t="s">
        <v>15</v>
      </c>
      <c r="C4" s="16" t="s">
        <v>16</v>
      </c>
      <c r="D4" s="16" t="s">
        <v>17</v>
      </c>
      <c r="E4" s="16" t="s">
        <v>18</v>
      </c>
      <c r="F4" s="15">
        <v>2.0</v>
      </c>
      <c r="G4" s="17">
        <v>43700.0</v>
      </c>
      <c r="H4" s="18" t="str">
        <f>HYPERLINK("https://drive.google.com/open?id=1HVOdZfCAbnT-u6NAPULeUiZxaOs2KI-3","LINK")</f>
        <v>LINK</v>
      </c>
      <c r="I4" s="19" t="s">
        <v>19</v>
      </c>
      <c r="J4" s="14" t="b">
        <v>1</v>
      </c>
    </row>
    <row r="5">
      <c r="A5" s="15">
        <v>3.0</v>
      </c>
      <c r="B5" s="16" t="s">
        <v>20</v>
      </c>
      <c r="C5" s="16" t="s">
        <v>21</v>
      </c>
      <c r="D5" s="16" t="s">
        <v>22</v>
      </c>
      <c r="E5" s="16" t="s">
        <v>23</v>
      </c>
      <c r="F5" s="15">
        <v>3.0</v>
      </c>
      <c r="G5" s="17">
        <v>43705.0</v>
      </c>
      <c r="H5" s="18" t="str">
        <f>HYPERLINK("https://drive.google.com/open?id=193vgS4OQcO5OvVz0j8fXx6A2vJSJIyHJ","LINK")</f>
        <v>LINK</v>
      </c>
      <c r="I5" s="19" t="s">
        <v>24</v>
      </c>
      <c r="J5" s="14" t="b">
        <v>1</v>
      </c>
    </row>
    <row r="6">
      <c r="A6" s="15">
        <v>4.0</v>
      </c>
      <c r="B6" s="16" t="s">
        <v>25</v>
      </c>
      <c r="C6" s="16" t="s">
        <v>26</v>
      </c>
      <c r="D6" s="16" t="s">
        <v>22</v>
      </c>
      <c r="E6" s="16" t="s">
        <v>23</v>
      </c>
      <c r="F6" s="15">
        <v>4.0</v>
      </c>
      <c r="G6" s="17">
        <v>43705.0</v>
      </c>
      <c r="H6" s="18" t="str">
        <f>HYPERLINK("https://drive.google.com/open?id=1xznWZhUfFKwuSggeA7_1SheQVoE0B9iJ","LINK")</f>
        <v>LINK</v>
      </c>
      <c r="I6" s="19" t="s">
        <v>24</v>
      </c>
      <c r="J6" s="14" t="b">
        <v>1</v>
      </c>
    </row>
    <row r="7">
      <c r="A7" s="15">
        <v>5.0</v>
      </c>
      <c r="B7" s="16" t="s">
        <v>27</v>
      </c>
      <c r="C7" s="16" t="s">
        <v>28</v>
      </c>
      <c r="D7" s="16" t="s">
        <v>22</v>
      </c>
      <c r="E7" s="16" t="s">
        <v>29</v>
      </c>
      <c r="F7" s="15">
        <v>5.0</v>
      </c>
      <c r="G7" s="17">
        <v>43707.0</v>
      </c>
      <c r="H7" s="18" t="str">
        <f>HYPERLINK("https://drive.google.com/open?id=1k7T7wdS3_wzpBFpN97GAs_MMIdDaLs_F","LINK")</f>
        <v>LINK</v>
      </c>
      <c r="I7" s="19" t="s">
        <v>30</v>
      </c>
      <c r="J7" s="14" t="b">
        <v>1</v>
      </c>
    </row>
    <row r="8">
      <c r="A8" s="15">
        <v>6.0</v>
      </c>
      <c r="B8" s="16" t="s">
        <v>27</v>
      </c>
      <c r="C8" s="16" t="s">
        <v>28</v>
      </c>
      <c r="D8" s="10" t="s">
        <v>12</v>
      </c>
      <c r="E8" s="16" t="s">
        <v>29</v>
      </c>
      <c r="F8" s="15">
        <v>6.0</v>
      </c>
      <c r="G8" s="17">
        <v>43706.0</v>
      </c>
      <c r="H8" s="20" t="s">
        <v>31</v>
      </c>
      <c r="I8" s="19" t="s">
        <v>30</v>
      </c>
      <c r="J8" s="14" t="b">
        <v>1</v>
      </c>
    </row>
    <row r="9">
      <c r="A9" s="15">
        <v>7.0</v>
      </c>
      <c r="B9" s="16" t="s">
        <v>32</v>
      </c>
      <c r="C9" s="16" t="s">
        <v>33</v>
      </c>
      <c r="D9" s="16" t="s">
        <v>22</v>
      </c>
      <c r="E9" s="16" t="s">
        <v>29</v>
      </c>
      <c r="F9" s="15">
        <v>7.0</v>
      </c>
      <c r="G9" s="17">
        <v>43707.0</v>
      </c>
      <c r="H9" s="18" t="str">
        <f>HYPERLINK("https://drive.google.com/open?id=1v64exkPLahJiR46h0Nn1PqJ4BNpbnPPA","LINK")</f>
        <v>LINK</v>
      </c>
      <c r="I9" s="19" t="s">
        <v>30</v>
      </c>
      <c r="J9" s="14" t="b">
        <v>1</v>
      </c>
    </row>
    <row r="10">
      <c r="A10" s="15">
        <v>8.0</v>
      </c>
      <c r="B10" s="16" t="s">
        <v>32</v>
      </c>
      <c r="C10" s="16" t="s">
        <v>33</v>
      </c>
      <c r="D10" s="10" t="s">
        <v>12</v>
      </c>
      <c r="E10" s="21" t="s">
        <v>29</v>
      </c>
      <c r="F10" s="22">
        <v>8.0</v>
      </c>
      <c r="G10" s="23">
        <v>43706.0</v>
      </c>
      <c r="H10" s="24" t="s">
        <v>31</v>
      </c>
      <c r="I10" s="19" t="s">
        <v>30</v>
      </c>
      <c r="J10" s="14" t="b">
        <v>1</v>
      </c>
    </row>
    <row r="11">
      <c r="A11" s="15">
        <v>9.0</v>
      </c>
      <c r="B11" s="21" t="s">
        <v>34</v>
      </c>
      <c r="C11" s="21" t="s">
        <v>35</v>
      </c>
      <c r="D11" s="10" t="s">
        <v>12</v>
      </c>
      <c r="E11" s="21" t="s">
        <v>23</v>
      </c>
      <c r="F11" s="22">
        <v>11.0</v>
      </c>
      <c r="G11" s="23">
        <v>43707.0</v>
      </c>
      <c r="H11" s="25" t="str">
        <f>HYPERLINK("https://drive.google.com/open?id=1nB0fNfaALgZFzB9gQCS6_LSZO7NkbxjX","LINK")</f>
        <v>LINK</v>
      </c>
      <c r="I11" s="26" t="s">
        <v>14</v>
      </c>
      <c r="J11" s="14" t="b">
        <v>1</v>
      </c>
    </row>
    <row r="12" ht="18.75" customHeight="1">
      <c r="A12" s="15">
        <v>10.0</v>
      </c>
      <c r="B12" s="21" t="s">
        <v>34</v>
      </c>
      <c r="C12" s="21" t="s">
        <v>36</v>
      </c>
      <c r="D12" s="10" t="s">
        <v>12</v>
      </c>
      <c r="E12" s="21" t="s">
        <v>23</v>
      </c>
      <c r="F12" s="22">
        <v>12.0</v>
      </c>
      <c r="G12" s="23">
        <v>43707.0</v>
      </c>
      <c r="H12" s="25" t="str">
        <f>HYPERLINK("https://drive.google.com/open?id=1V1XrNB1Vd01bFP7Ay5QmB-cbgmF2wwZN","LINK")</f>
        <v>LINK</v>
      </c>
      <c r="I12" s="26" t="s">
        <v>14</v>
      </c>
      <c r="J12" s="14" t="b">
        <v>1</v>
      </c>
    </row>
    <row r="13">
      <c r="A13" s="15">
        <v>11.0</v>
      </c>
      <c r="B13" s="21" t="s">
        <v>37</v>
      </c>
      <c r="C13" s="21" t="s">
        <v>38</v>
      </c>
      <c r="D13" s="10" t="s">
        <v>12</v>
      </c>
      <c r="E13" s="21" t="s">
        <v>23</v>
      </c>
      <c r="F13" s="22"/>
      <c r="G13" s="23">
        <v>43707.0</v>
      </c>
      <c r="H13" s="27"/>
      <c r="I13" s="26" t="s">
        <v>14</v>
      </c>
      <c r="J13" s="28" t="b">
        <v>0</v>
      </c>
    </row>
    <row r="14">
      <c r="A14" s="15">
        <v>12.0</v>
      </c>
      <c r="B14" s="21" t="s">
        <v>25</v>
      </c>
      <c r="C14" s="21" t="s">
        <v>26</v>
      </c>
      <c r="D14" s="10" t="s">
        <v>12</v>
      </c>
      <c r="E14" s="21" t="s">
        <v>23</v>
      </c>
      <c r="F14" s="22"/>
      <c r="G14" s="23">
        <v>43707.0</v>
      </c>
      <c r="H14" s="27"/>
      <c r="I14" s="26" t="s">
        <v>14</v>
      </c>
      <c r="J14" s="28" t="b">
        <v>0</v>
      </c>
    </row>
    <row r="15">
      <c r="A15" s="22">
        <v>13.0</v>
      </c>
      <c r="B15" s="21" t="s">
        <v>39</v>
      </c>
      <c r="C15" s="21" t="s">
        <v>40</v>
      </c>
      <c r="D15" s="21" t="s">
        <v>22</v>
      </c>
      <c r="E15" s="21" t="s">
        <v>13</v>
      </c>
      <c r="F15" s="22">
        <v>9.0</v>
      </c>
      <c r="G15" s="23">
        <v>43739.0</v>
      </c>
      <c r="H15" s="25" t="str">
        <f>HYPERLINK("https://drive.google.com/open?id=10-Q-tOe2dRMNvy2RThwOaInXv-fQt6UA","LINK")</f>
        <v>LINK</v>
      </c>
      <c r="I15" s="26" t="s">
        <v>41</v>
      </c>
      <c r="J15" s="14" t="b">
        <v>1</v>
      </c>
    </row>
    <row r="16">
      <c r="A16" s="22">
        <v>14.0</v>
      </c>
      <c r="B16" s="21" t="s">
        <v>39</v>
      </c>
      <c r="C16" s="21" t="s">
        <v>42</v>
      </c>
      <c r="D16" s="21" t="s">
        <v>22</v>
      </c>
      <c r="E16" s="21" t="s">
        <v>13</v>
      </c>
      <c r="F16" s="22">
        <v>10.0</v>
      </c>
      <c r="G16" s="23">
        <v>43739.0</v>
      </c>
      <c r="H16" s="25" t="str">
        <f>HYPERLINK("https://drive.google.com/open?id=1VvhFoAuSHklZ0xvMZKDRn6MAPUzRYPHY","LINK")</f>
        <v>LINK</v>
      </c>
      <c r="I16" s="26" t="s">
        <v>41</v>
      </c>
      <c r="J16" s="14" t="b">
        <v>1</v>
      </c>
    </row>
    <row r="17">
      <c r="A17" s="22">
        <v>15.0</v>
      </c>
      <c r="B17" s="21" t="s">
        <v>43</v>
      </c>
      <c r="C17" s="21" t="s">
        <v>44</v>
      </c>
      <c r="D17" s="10" t="s">
        <v>12</v>
      </c>
      <c r="E17" s="21" t="s">
        <v>45</v>
      </c>
      <c r="F17" s="22">
        <v>14.0</v>
      </c>
      <c r="G17" s="23">
        <v>43858.0</v>
      </c>
      <c r="H17" s="27"/>
      <c r="I17" s="26" t="s">
        <v>14</v>
      </c>
      <c r="J17" s="14" t="b">
        <v>1</v>
      </c>
    </row>
    <row r="18">
      <c r="A18" s="22">
        <v>16.0</v>
      </c>
      <c r="B18" s="21" t="s">
        <v>46</v>
      </c>
      <c r="C18" s="21" t="s">
        <v>47</v>
      </c>
      <c r="D18" s="10" t="s">
        <v>12</v>
      </c>
      <c r="E18" s="21" t="s">
        <v>45</v>
      </c>
      <c r="F18" s="22">
        <v>15.0</v>
      </c>
      <c r="G18" s="23">
        <v>43858.0</v>
      </c>
      <c r="H18" s="27"/>
      <c r="I18" s="26" t="s">
        <v>14</v>
      </c>
      <c r="J18" s="28" t="b">
        <v>0</v>
      </c>
    </row>
    <row r="19">
      <c r="A19" s="22">
        <v>17.0</v>
      </c>
      <c r="B19" s="21" t="s">
        <v>48</v>
      </c>
      <c r="C19" s="21" t="s">
        <v>49</v>
      </c>
      <c r="D19" s="10" t="s">
        <v>12</v>
      </c>
      <c r="E19" s="21" t="s">
        <v>45</v>
      </c>
      <c r="F19" s="22">
        <v>16.0</v>
      </c>
      <c r="G19" s="23">
        <v>43858.0</v>
      </c>
      <c r="H19" s="27"/>
      <c r="I19" s="26" t="s">
        <v>14</v>
      </c>
      <c r="J19" s="28" t="b">
        <v>0</v>
      </c>
    </row>
    <row r="20">
      <c r="A20" s="22">
        <v>18.0</v>
      </c>
      <c r="B20" s="21" t="s">
        <v>46</v>
      </c>
      <c r="C20" s="21" t="s">
        <v>50</v>
      </c>
      <c r="D20" s="10" t="s">
        <v>12</v>
      </c>
      <c r="E20" s="21" t="s">
        <v>45</v>
      </c>
      <c r="F20" s="22">
        <v>17.0</v>
      </c>
      <c r="G20" s="23">
        <v>43858.0</v>
      </c>
      <c r="H20" s="27"/>
      <c r="I20" s="26" t="s">
        <v>14</v>
      </c>
      <c r="J20" s="28" t="b">
        <v>0</v>
      </c>
    </row>
    <row r="21">
      <c r="A21" s="22">
        <v>19.0</v>
      </c>
      <c r="B21" s="21" t="s">
        <v>51</v>
      </c>
      <c r="C21" s="21" t="s">
        <v>49</v>
      </c>
      <c r="D21" s="10" t="s">
        <v>12</v>
      </c>
      <c r="E21" s="21" t="s">
        <v>45</v>
      </c>
      <c r="F21" s="22">
        <v>18.0</v>
      </c>
      <c r="G21" s="23">
        <v>43858.0</v>
      </c>
      <c r="H21" s="27"/>
      <c r="I21" s="26" t="s">
        <v>14</v>
      </c>
      <c r="J21" s="28" t="b">
        <v>0</v>
      </c>
    </row>
    <row r="22">
      <c r="A22" s="22">
        <v>20.0</v>
      </c>
      <c r="B22" s="21" t="s">
        <v>51</v>
      </c>
      <c r="C22" s="21" t="s">
        <v>52</v>
      </c>
      <c r="D22" s="10" t="s">
        <v>12</v>
      </c>
      <c r="E22" s="21" t="s">
        <v>45</v>
      </c>
      <c r="F22" s="22">
        <v>19.0</v>
      </c>
      <c r="G22" s="23">
        <v>43858.0</v>
      </c>
      <c r="H22" s="27"/>
      <c r="I22" s="26" t="s">
        <v>14</v>
      </c>
      <c r="J22" s="28" t="b">
        <v>0</v>
      </c>
    </row>
    <row r="23">
      <c r="A23" s="22">
        <v>21.0</v>
      </c>
      <c r="B23" s="21" t="s">
        <v>53</v>
      </c>
      <c r="C23" s="21" t="s">
        <v>50</v>
      </c>
      <c r="D23" s="10" t="s">
        <v>12</v>
      </c>
      <c r="E23" s="21" t="s">
        <v>45</v>
      </c>
      <c r="F23" s="22">
        <v>20.0</v>
      </c>
      <c r="G23" s="23">
        <v>43858.0</v>
      </c>
      <c r="H23" s="27"/>
      <c r="I23" s="26" t="s">
        <v>14</v>
      </c>
      <c r="J23" s="28" t="b">
        <v>0</v>
      </c>
    </row>
    <row r="24">
      <c r="A24" s="22">
        <v>22.0</v>
      </c>
      <c r="B24" s="21" t="s">
        <v>20</v>
      </c>
      <c r="C24" s="21" t="s">
        <v>52</v>
      </c>
      <c r="D24" s="10" t="s">
        <v>12</v>
      </c>
      <c r="E24" s="21" t="s">
        <v>45</v>
      </c>
      <c r="F24" s="22">
        <v>22.0</v>
      </c>
      <c r="G24" s="23">
        <v>43858.0</v>
      </c>
      <c r="H24" s="27"/>
      <c r="I24" s="26" t="s">
        <v>14</v>
      </c>
      <c r="J24" s="28" t="b">
        <v>0</v>
      </c>
    </row>
    <row r="25">
      <c r="A25" s="22">
        <v>23.0</v>
      </c>
      <c r="B25" s="21" t="s">
        <v>53</v>
      </c>
      <c r="C25" s="21" t="s">
        <v>54</v>
      </c>
      <c r="D25" s="10" t="s">
        <v>12</v>
      </c>
      <c r="E25" s="21" t="s">
        <v>45</v>
      </c>
      <c r="F25" s="22">
        <v>21.0</v>
      </c>
      <c r="G25" s="23">
        <v>43858.0</v>
      </c>
      <c r="H25" s="27"/>
      <c r="I25" s="26" t="s">
        <v>14</v>
      </c>
      <c r="J25" s="28" t="b">
        <v>0</v>
      </c>
    </row>
    <row r="26">
      <c r="A26" s="22">
        <v>24.0</v>
      </c>
      <c r="B26" s="21" t="s">
        <v>34</v>
      </c>
      <c r="C26" s="21" t="s">
        <v>55</v>
      </c>
      <c r="D26" s="16" t="s">
        <v>17</v>
      </c>
      <c r="E26" s="16" t="s">
        <v>18</v>
      </c>
      <c r="F26" s="22">
        <v>92.0</v>
      </c>
      <c r="G26" s="29">
        <v>44310.0</v>
      </c>
      <c r="H26" s="27"/>
      <c r="I26" s="19" t="s">
        <v>19</v>
      </c>
      <c r="J26" s="14" t="b">
        <v>1</v>
      </c>
    </row>
    <row r="27">
      <c r="A27" s="22">
        <v>25.0</v>
      </c>
      <c r="B27" s="21" t="s">
        <v>34</v>
      </c>
      <c r="C27" s="21" t="s">
        <v>16</v>
      </c>
      <c r="D27" s="16" t="s">
        <v>17</v>
      </c>
      <c r="E27" s="16" t="s">
        <v>18</v>
      </c>
      <c r="F27" s="22">
        <v>12.0</v>
      </c>
      <c r="G27" s="30">
        <v>43815.0</v>
      </c>
      <c r="H27" s="27"/>
      <c r="I27" s="19" t="s">
        <v>19</v>
      </c>
      <c r="J27" s="28" t="b">
        <v>0</v>
      </c>
    </row>
    <row r="28">
      <c r="A28" s="22">
        <v>26.0</v>
      </c>
      <c r="B28" s="21" t="s">
        <v>32</v>
      </c>
      <c r="C28" s="21" t="s">
        <v>55</v>
      </c>
      <c r="D28" s="16" t="s">
        <v>17</v>
      </c>
      <c r="E28" s="16" t="s">
        <v>18</v>
      </c>
      <c r="F28" s="22">
        <v>11.0</v>
      </c>
      <c r="G28" s="30">
        <v>43798.0</v>
      </c>
      <c r="H28" s="25" t="str">
        <f>HYPERLINK("https://drive.google.com/open?id=1WpFNcMr0-ZyqZXMFLlqHXbRZLY16cwes","LINK")</f>
        <v>LINK</v>
      </c>
      <c r="I28" s="19" t="s">
        <v>19</v>
      </c>
      <c r="J28" s="14" t="b">
        <v>1</v>
      </c>
    </row>
    <row r="29">
      <c r="A29" s="22">
        <v>27.0</v>
      </c>
      <c r="B29" s="21" t="s">
        <v>56</v>
      </c>
      <c r="C29" s="21" t="s">
        <v>57</v>
      </c>
      <c r="D29" s="16" t="s">
        <v>58</v>
      </c>
      <c r="E29" s="16" t="s">
        <v>13</v>
      </c>
      <c r="F29" s="22">
        <v>13.0</v>
      </c>
      <c r="G29" s="30">
        <v>43837.0</v>
      </c>
      <c r="H29" s="25" t="str">
        <f>HYPERLINK("https://drive.google.com/open?id=1BnAEIOF7QwJmgW_t_8_Z-fRoN8oH801k","LINK")</f>
        <v>LINK</v>
      </c>
      <c r="I29" s="26" t="s">
        <v>59</v>
      </c>
      <c r="J29" s="14" t="b">
        <v>1</v>
      </c>
    </row>
    <row r="30">
      <c r="A30" s="22">
        <v>28.0</v>
      </c>
      <c r="B30" s="21" t="s">
        <v>60</v>
      </c>
      <c r="C30" s="21" t="s">
        <v>61</v>
      </c>
      <c r="D30" s="21" t="s">
        <v>12</v>
      </c>
      <c r="E30" s="21" t="s">
        <v>45</v>
      </c>
      <c r="F30" s="22">
        <v>23.0</v>
      </c>
      <c r="G30" s="23">
        <v>43858.0</v>
      </c>
      <c r="H30" s="27"/>
      <c r="I30" s="26" t="s">
        <v>14</v>
      </c>
      <c r="J30" s="28" t="b">
        <v>0</v>
      </c>
    </row>
    <row r="31">
      <c r="A31" s="22">
        <v>29.0</v>
      </c>
      <c r="B31" s="21" t="s">
        <v>37</v>
      </c>
      <c r="C31" s="21" t="s">
        <v>62</v>
      </c>
      <c r="D31" s="21" t="s">
        <v>12</v>
      </c>
      <c r="E31" s="21" t="s">
        <v>45</v>
      </c>
      <c r="F31" s="22">
        <v>24.0</v>
      </c>
      <c r="G31" s="23">
        <v>43858.0</v>
      </c>
      <c r="H31" s="27"/>
      <c r="I31" s="26" t="s">
        <v>14</v>
      </c>
      <c r="J31" s="28" t="b">
        <v>0</v>
      </c>
    </row>
    <row r="32">
      <c r="A32" s="22">
        <v>30.0</v>
      </c>
      <c r="B32" s="21" t="s">
        <v>63</v>
      </c>
      <c r="C32" s="21" t="s">
        <v>36</v>
      </c>
      <c r="D32" s="21" t="s">
        <v>12</v>
      </c>
      <c r="E32" s="21" t="s">
        <v>45</v>
      </c>
      <c r="F32" s="22">
        <v>25.0</v>
      </c>
      <c r="G32" s="23">
        <v>43858.0</v>
      </c>
      <c r="H32" s="27"/>
      <c r="I32" s="26" t="s">
        <v>14</v>
      </c>
      <c r="J32" s="28" t="b">
        <v>0</v>
      </c>
    </row>
    <row r="33">
      <c r="A33" s="22">
        <v>31.0</v>
      </c>
      <c r="B33" s="21" t="s">
        <v>64</v>
      </c>
      <c r="C33" s="21" t="s">
        <v>33</v>
      </c>
      <c r="D33" s="21" t="s">
        <v>12</v>
      </c>
      <c r="E33" s="21" t="s">
        <v>45</v>
      </c>
      <c r="F33" s="22">
        <v>26.0</v>
      </c>
      <c r="G33" s="23">
        <v>43858.0</v>
      </c>
      <c r="H33" s="27"/>
      <c r="I33" s="26" t="s">
        <v>14</v>
      </c>
      <c r="J33" s="28" t="b">
        <v>0</v>
      </c>
    </row>
    <row r="34">
      <c r="A34" s="22">
        <v>32.0</v>
      </c>
      <c r="B34" s="21" t="s">
        <v>27</v>
      </c>
      <c r="C34" s="21" t="s">
        <v>28</v>
      </c>
      <c r="D34" s="21" t="s">
        <v>65</v>
      </c>
      <c r="E34" s="21" t="s">
        <v>66</v>
      </c>
      <c r="F34" s="22">
        <v>27.0</v>
      </c>
      <c r="G34" s="30">
        <v>43859.0</v>
      </c>
      <c r="H34" s="25" t="str">
        <f>HYPERLINK("https://drive.google.com/open?id=1PJtu7XRIA_4paK6aIpQDPnzdsvSSsJYP","LINK")</f>
        <v>LINK</v>
      </c>
      <c r="I34" s="26" t="s">
        <v>67</v>
      </c>
      <c r="J34" s="14" t="b">
        <v>1</v>
      </c>
    </row>
    <row r="35">
      <c r="A35" s="22">
        <v>33.0</v>
      </c>
      <c r="B35" s="16" t="s">
        <v>32</v>
      </c>
      <c r="C35" s="16" t="s">
        <v>33</v>
      </c>
      <c r="D35" s="21" t="s">
        <v>65</v>
      </c>
      <c r="E35" s="21" t="s">
        <v>66</v>
      </c>
      <c r="F35" s="22">
        <v>28.0</v>
      </c>
      <c r="G35" s="30">
        <v>43859.0</v>
      </c>
      <c r="H35" s="25" t="str">
        <f>HYPERLINK("https://drive.google.com/open?id=1rk7BUKuPqn1KT3iQSPaXgJ1nZgb4RxNw","LINK")</f>
        <v>LINK</v>
      </c>
      <c r="I35" s="26" t="s">
        <v>67</v>
      </c>
      <c r="J35" s="14" t="b">
        <v>1</v>
      </c>
    </row>
    <row r="36">
      <c r="A36" s="22">
        <v>34.0</v>
      </c>
      <c r="B36" s="21" t="s">
        <v>32</v>
      </c>
      <c r="C36" s="21" t="s">
        <v>62</v>
      </c>
      <c r="D36" s="21" t="s">
        <v>12</v>
      </c>
      <c r="E36" s="21" t="s">
        <v>29</v>
      </c>
      <c r="F36" s="22">
        <v>29.0</v>
      </c>
      <c r="G36" s="30">
        <v>43889.0</v>
      </c>
      <c r="H36" s="25" t="str">
        <f>HYPERLINK("https://drive.google.com/open?id=1qXW_NH-1ptBRb1iABbNWQmNzCI-bZB0b","LINK")</f>
        <v>LINK</v>
      </c>
      <c r="I36" s="26" t="s">
        <v>68</v>
      </c>
      <c r="J36" s="14" t="b">
        <v>1</v>
      </c>
    </row>
    <row r="37">
      <c r="A37" s="22">
        <v>35.0</v>
      </c>
      <c r="B37" s="21" t="s">
        <v>32</v>
      </c>
      <c r="C37" s="21" t="s">
        <v>62</v>
      </c>
      <c r="D37" s="21" t="s">
        <v>22</v>
      </c>
      <c r="E37" s="21" t="s">
        <v>29</v>
      </c>
      <c r="F37" s="22">
        <v>30.0</v>
      </c>
      <c r="G37" s="30">
        <v>43891.0</v>
      </c>
      <c r="H37" s="24" t="s">
        <v>31</v>
      </c>
      <c r="I37" s="26" t="s">
        <v>68</v>
      </c>
      <c r="J37" s="14" t="b">
        <v>1</v>
      </c>
    </row>
    <row r="38">
      <c r="A38" s="22">
        <v>36.0</v>
      </c>
      <c r="B38" s="21" t="s">
        <v>69</v>
      </c>
      <c r="C38" s="21" t="s">
        <v>70</v>
      </c>
      <c r="D38" s="21" t="s">
        <v>12</v>
      </c>
      <c r="E38" s="21" t="s">
        <v>13</v>
      </c>
      <c r="F38" s="22">
        <v>31.0</v>
      </c>
      <c r="G38" s="30">
        <v>43948.0</v>
      </c>
      <c r="H38" s="27"/>
      <c r="I38" s="26" t="s">
        <v>71</v>
      </c>
      <c r="J38" s="28" t="b">
        <v>0</v>
      </c>
    </row>
    <row r="39">
      <c r="A39" s="22">
        <v>37.0</v>
      </c>
      <c r="B39" s="21" t="s">
        <v>72</v>
      </c>
      <c r="C39" s="21" t="s">
        <v>73</v>
      </c>
      <c r="D39" s="21" t="s">
        <v>22</v>
      </c>
      <c r="E39" s="21" t="s">
        <v>13</v>
      </c>
      <c r="F39" s="22">
        <v>32.0</v>
      </c>
      <c r="G39" s="30">
        <v>43951.0</v>
      </c>
      <c r="H39" s="27"/>
      <c r="I39" s="31"/>
      <c r="J39" s="14" t="b">
        <v>1</v>
      </c>
    </row>
    <row r="40">
      <c r="A40" s="22">
        <v>38.0</v>
      </c>
      <c r="B40" s="21" t="s">
        <v>72</v>
      </c>
      <c r="C40" s="21" t="s">
        <v>73</v>
      </c>
      <c r="D40" s="21" t="s">
        <v>12</v>
      </c>
      <c r="E40" s="21" t="s">
        <v>13</v>
      </c>
      <c r="F40" s="22">
        <v>33.0</v>
      </c>
      <c r="G40" s="30">
        <v>43951.0</v>
      </c>
      <c r="H40" s="27"/>
      <c r="I40" s="31"/>
      <c r="J40" s="14" t="b">
        <v>1</v>
      </c>
    </row>
    <row r="41">
      <c r="A41" s="22">
        <v>39.0</v>
      </c>
      <c r="B41" s="21" t="s">
        <v>27</v>
      </c>
      <c r="C41" s="21" t="s">
        <v>28</v>
      </c>
      <c r="D41" s="21" t="s">
        <v>22</v>
      </c>
      <c r="E41" s="21" t="s">
        <v>23</v>
      </c>
      <c r="F41" s="22">
        <v>34.0</v>
      </c>
      <c r="G41" s="30">
        <v>43979.0</v>
      </c>
      <c r="H41" s="24" t="s">
        <v>31</v>
      </c>
      <c r="I41" s="26" t="s">
        <v>74</v>
      </c>
      <c r="J41" s="14" t="b">
        <v>1</v>
      </c>
      <c r="K41" s="32" t="s">
        <v>75</v>
      </c>
    </row>
    <row r="42">
      <c r="A42" s="22">
        <v>40.0</v>
      </c>
      <c r="B42" s="21" t="s">
        <v>37</v>
      </c>
      <c r="C42" s="21" t="s">
        <v>62</v>
      </c>
      <c r="D42" s="21" t="s">
        <v>22</v>
      </c>
      <c r="E42" s="21" t="s">
        <v>23</v>
      </c>
      <c r="F42" s="22">
        <v>35.0</v>
      </c>
      <c r="G42" s="30">
        <v>43979.0</v>
      </c>
      <c r="H42" s="24" t="s">
        <v>31</v>
      </c>
      <c r="I42" s="26" t="s">
        <v>74</v>
      </c>
      <c r="J42" s="14" t="b">
        <v>1</v>
      </c>
      <c r="K42" s="32" t="s">
        <v>75</v>
      </c>
    </row>
    <row r="43">
      <c r="A43" s="22">
        <v>41.0</v>
      </c>
      <c r="B43" s="21" t="s">
        <v>20</v>
      </c>
      <c r="C43" s="21" t="s">
        <v>52</v>
      </c>
      <c r="D43" s="21" t="s">
        <v>22</v>
      </c>
      <c r="E43" s="21" t="s">
        <v>23</v>
      </c>
      <c r="F43" s="22">
        <v>36.0</v>
      </c>
      <c r="G43" s="30">
        <v>44035.0</v>
      </c>
      <c r="H43" s="24" t="s">
        <v>31</v>
      </c>
      <c r="I43" s="26" t="s">
        <v>76</v>
      </c>
      <c r="J43" s="14" t="b">
        <v>1</v>
      </c>
    </row>
    <row r="44">
      <c r="A44" s="22">
        <v>42.0</v>
      </c>
      <c r="B44" s="21" t="s">
        <v>53</v>
      </c>
      <c r="C44" s="21" t="s">
        <v>54</v>
      </c>
      <c r="D44" s="21" t="s">
        <v>22</v>
      </c>
      <c r="E44" s="21" t="s">
        <v>23</v>
      </c>
      <c r="F44" s="22">
        <v>37.0</v>
      </c>
      <c r="G44" s="30">
        <v>44035.0</v>
      </c>
      <c r="H44" s="24" t="s">
        <v>31</v>
      </c>
      <c r="I44" s="26" t="s">
        <v>76</v>
      </c>
      <c r="J44" s="14" t="b">
        <v>1</v>
      </c>
    </row>
    <row r="45">
      <c r="A45" s="22">
        <v>43.0</v>
      </c>
      <c r="B45" s="21" t="s">
        <v>34</v>
      </c>
      <c r="C45" s="21" t="s">
        <v>77</v>
      </c>
      <c r="D45" s="21" t="s">
        <v>78</v>
      </c>
      <c r="E45" s="21" t="s">
        <v>79</v>
      </c>
      <c r="F45" s="22">
        <v>38.0</v>
      </c>
      <c r="G45" s="30">
        <v>44051.0</v>
      </c>
      <c r="H45" s="24" t="s">
        <v>31</v>
      </c>
      <c r="I45" s="26" t="s">
        <v>80</v>
      </c>
      <c r="J45" s="14" t="b">
        <v>1</v>
      </c>
    </row>
    <row r="46">
      <c r="A46" s="22">
        <v>44.0</v>
      </c>
      <c r="B46" s="21" t="s">
        <v>25</v>
      </c>
      <c r="C46" s="21" t="s">
        <v>81</v>
      </c>
      <c r="D46" s="21" t="s">
        <v>22</v>
      </c>
      <c r="E46" s="21" t="s">
        <v>23</v>
      </c>
      <c r="F46" s="22">
        <v>39.0</v>
      </c>
      <c r="G46" s="30">
        <v>44056.0</v>
      </c>
      <c r="H46" s="24" t="s">
        <v>31</v>
      </c>
      <c r="I46" s="26" t="s">
        <v>82</v>
      </c>
      <c r="J46" s="14" t="b">
        <v>1</v>
      </c>
    </row>
    <row r="47">
      <c r="A47" s="22">
        <v>45.0</v>
      </c>
      <c r="B47" s="21" t="s">
        <v>83</v>
      </c>
      <c r="C47" s="21" t="s">
        <v>38</v>
      </c>
      <c r="D47" s="21" t="s">
        <v>22</v>
      </c>
      <c r="E47" s="21" t="s">
        <v>23</v>
      </c>
      <c r="F47" s="22">
        <v>40.0</v>
      </c>
      <c r="G47" s="30">
        <v>44057.0</v>
      </c>
      <c r="H47" s="24" t="s">
        <v>31</v>
      </c>
      <c r="I47" s="26" t="s">
        <v>84</v>
      </c>
      <c r="J47" s="14" t="b">
        <v>1</v>
      </c>
    </row>
    <row r="48">
      <c r="A48" s="22">
        <v>46.0</v>
      </c>
      <c r="B48" s="21" t="s">
        <v>85</v>
      </c>
      <c r="C48" s="21" t="s">
        <v>81</v>
      </c>
      <c r="D48" s="21" t="s">
        <v>22</v>
      </c>
      <c r="E48" s="21" t="s">
        <v>23</v>
      </c>
      <c r="F48" s="22">
        <v>41.0</v>
      </c>
      <c r="G48" s="30">
        <v>44057.0</v>
      </c>
      <c r="H48" s="24" t="s">
        <v>31</v>
      </c>
      <c r="I48" s="26" t="s">
        <v>84</v>
      </c>
      <c r="J48" s="14" t="b">
        <v>1</v>
      </c>
    </row>
    <row r="49">
      <c r="A49" s="22">
        <v>47.0</v>
      </c>
      <c r="B49" s="21" t="s">
        <v>83</v>
      </c>
      <c r="C49" s="21" t="s">
        <v>86</v>
      </c>
      <c r="D49" s="21" t="s">
        <v>22</v>
      </c>
      <c r="E49" s="21" t="s">
        <v>23</v>
      </c>
      <c r="F49" s="22">
        <v>42.0</v>
      </c>
      <c r="G49" s="30">
        <v>44057.0</v>
      </c>
      <c r="H49" s="24" t="s">
        <v>31</v>
      </c>
      <c r="I49" s="26" t="s">
        <v>84</v>
      </c>
      <c r="J49" s="14" t="b">
        <v>1</v>
      </c>
    </row>
    <row r="50">
      <c r="A50" s="22">
        <v>48.0</v>
      </c>
      <c r="B50" s="21" t="s">
        <v>37</v>
      </c>
      <c r="C50" s="21" t="s">
        <v>87</v>
      </c>
      <c r="D50" s="21" t="s">
        <v>88</v>
      </c>
      <c r="E50" s="21" t="s">
        <v>23</v>
      </c>
      <c r="F50" s="22">
        <v>43.0</v>
      </c>
      <c r="G50" s="30">
        <v>44076.0</v>
      </c>
      <c r="H50" s="24" t="s">
        <v>31</v>
      </c>
      <c r="I50" s="26" t="s">
        <v>89</v>
      </c>
      <c r="J50" s="14" t="b">
        <v>1</v>
      </c>
    </row>
    <row r="51">
      <c r="A51" s="22">
        <v>49.0</v>
      </c>
      <c r="B51" s="21" t="s">
        <v>63</v>
      </c>
      <c r="C51" s="21" t="s">
        <v>90</v>
      </c>
      <c r="D51" s="21" t="s">
        <v>88</v>
      </c>
      <c r="E51" s="21" t="s">
        <v>23</v>
      </c>
      <c r="F51" s="22">
        <v>44.0</v>
      </c>
      <c r="G51" s="30">
        <v>44076.0</v>
      </c>
      <c r="H51" s="24" t="s">
        <v>31</v>
      </c>
      <c r="I51" s="26" t="s">
        <v>89</v>
      </c>
      <c r="J51" s="14" t="b">
        <v>1</v>
      </c>
    </row>
    <row r="52">
      <c r="A52" s="22">
        <v>50.0</v>
      </c>
      <c r="B52" s="21" t="s">
        <v>37</v>
      </c>
      <c r="C52" s="21" t="s">
        <v>91</v>
      </c>
      <c r="D52" s="21" t="s">
        <v>22</v>
      </c>
      <c r="E52" s="21" t="s">
        <v>23</v>
      </c>
      <c r="F52" s="22">
        <v>45.0</v>
      </c>
      <c r="G52" s="30">
        <v>44077.0</v>
      </c>
      <c r="H52" s="24" t="s">
        <v>31</v>
      </c>
      <c r="I52" s="26" t="s">
        <v>92</v>
      </c>
      <c r="J52" s="28" t="b">
        <v>0</v>
      </c>
      <c r="K52" s="32" t="s">
        <v>93</v>
      </c>
    </row>
    <row r="53">
      <c r="A53" s="22">
        <v>51.0</v>
      </c>
      <c r="B53" s="21" t="s">
        <v>27</v>
      </c>
      <c r="C53" s="21" t="s">
        <v>94</v>
      </c>
      <c r="D53" s="21" t="s">
        <v>88</v>
      </c>
      <c r="E53" s="21" t="s">
        <v>79</v>
      </c>
      <c r="F53" s="22">
        <v>46.0</v>
      </c>
      <c r="G53" s="30">
        <v>44078.0</v>
      </c>
      <c r="H53" s="24" t="s">
        <v>31</v>
      </c>
      <c r="I53" s="26" t="s">
        <v>68</v>
      </c>
      <c r="J53" s="14" t="b">
        <v>1</v>
      </c>
    </row>
    <row r="54">
      <c r="A54" s="22">
        <v>52.0</v>
      </c>
      <c r="B54" s="21" t="s">
        <v>34</v>
      </c>
      <c r="C54" s="21" t="s">
        <v>16</v>
      </c>
      <c r="D54" s="21" t="s">
        <v>95</v>
      </c>
      <c r="E54" s="21" t="s">
        <v>79</v>
      </c>
      <c r="F54" s="22">
        <v>47.0</v>
      </c>
      <c r="G54" s="30">
        <v>44078.0</v>
      </c>
      <c r="H54" s="24" t="s">
        <v>31</v>
      </c>
      <c r="I54" s="26" t="s">
        <v>96</v>
      </c>
      <c r="J54" s="14" t="b">
        <v>1</v>
      </c>
    </row>
    <row r="55">
      <c r="A55" s="22">
        <v>53.0</v>
      </c>
      <c r="B55" s="21" t="s">
        <v>32</v>
      </c>
      <c r="C55" s="21" t="s">
        <v>77</v>
      </c>
      <c r="D55" s="21" t="s">
        <v>78</v>
      </c>
      <c r="E55" s="21" t="s">
        <v>29</v>
      </c>
      <c r="F55" s="22">
        <v>48.0</v>
      </c>
      <c r="G55" s="30">
        <v>44117.0</v>
      </c>
      <c r="H55" s="33" t="s">
        <v>31</v>
      </c>
      <c r="I55" s="26" t="s">
        <v>68</v>
      </c>
      <c r="J55" s="14" t="b">
        <v>1</v>
      </c>
    </row>
    <row r="56">
      <c r="A56" s="22">
        <v>54.0</v>
      </c>
      <c r="B56" s="21" t="s">
        <v>27</v>
      </c>
      <c r="C56" s="21" t="s">
        <v>28</v>
      </c>
      <c r="D56" s="21" t="s">
        <v>22</v>
      </c>
      <c r="E56" s="21" t="s">
        <v>23</v>
      </c>
      <c r="F56" s="22">
        <v>49.0</v>
      </c>
      <c r="G56" s="29">
        <v>44152.0</v>
      </c>
      <c r="H56" s="33" t="s">
        <v>31</v>
      </c>
      <c r="I56" s="26" t="s">
        <v>97</v>
      </c>
      <c r="J56" s="14" t="b">
        <v>1</v>
      </c>
    </row>
    <row r="57">
      <c r="A57" s="22">
        <v>55.0</v>
      </c>
      <c r="B57" s="21" t="s">
        <v>32</v>
      </c>
      <c r="C57" s="21" t="s">
        <v>33</v>
      </c>
      <c r="D57" s="21" t="s">
        <v>22</v>
      </c>
      <c r="E57" s="21" t="s">
        <v>23</v>
      </c>
      <c r="F57" s="22">
        <v>50.0</v>
      </c>
      <c r="G57" s="29">
        <v>44152.0</v>
      </c>
      <c r="H57" s="33" t="s">
        <v>31</v>
      </c>
      <c r="I57" s="26" t="s">
        <v>97</v>
      </c>
      <c r="J57" s="14" t="b">
        <v>1</v>
      </c>
    </row>
    <row r="58">
      <c r="A58" s="22">
        <v>56.0</v>
      </c>
      <c r="B58" s="21" t="s">
        <v>27</v>
      </c>
      <c r="C58" s="21" t="s">
        <v>70</v>
      </c>
      <c r="D58" s="21" t="s">
        <v>22</v>
      </c>
      <c r="E58" s="21" t="s">
        <v>29</v>
      </c>
      <c r="F58" s="22">
        <v>51.0</v>
      </c>
      <c r="G58" s="29">
        <v>44175.0</v>
      </c>
      <c r="H58" s="34" t="s">
        <v>31</v>
      </c>
      <c r="I58" s="26" t="s">
        <v>68</v>
      </c>
      <c r="J58" s="14" t="b">
        <v>0</v>
      </c>
    </row>
    <row r="59">
      <c r="A59" s="22">
        <v>57.0</v>
      </c>
      <c r="B59" s="21" t="s">
        <v>27</v>
      </c>
      <c r="C59" s="21" t="s">
        <v>98</v>
      </c>
      <c r="D59" s="21" t="s">
        <v>78</v>
      </c>
      <c r="E59" s="21" t="s">
        <v>29</v>
      </c>
      <c r="F59" s="22">
        <v>52.0</v>
      </c>
      <c r="G59" s="29">
        <v>44175.0</v>
      </c>
      <c r="H59" s="34" t="s">
        <v>31</v>
      </c>
      <c r="I59" s="26" t="s">
        <v>68</v>
      </c>
      <c r="J59" s="14" t="b">
        <v>0</v>
      </c>
    </row>
    <row r="60">
      <c r="A60" s="22">
        <v>58.0</v>
      </c>
      <c r="B60" s="21" t="s">
        <v>99</v>
      </c>
      <c r="C60" s="21" t="s">
        <v>44</v>
      </c>
      <c r="D60" s="21" t="s">
        <v>78</v>
      </c>
      <c r="E60" s="21" t="s">
        <v>45</v>
      </c>
      <c r="F60" s="22">
        <v>53.0</v>
      </c>
      <c r="G60" s="29">
        <v>44188.0</v>
      </c>
      <c r="H60" s="35"/>
      <c r="I60" s="26" t="s">
        <v>100</v>
      </c>
      <c r="J60" s="28" t="b">
        <v>0</v>
      </c>
      <c r="K60" s="32" t="s">
        <v>101</v>
      </c>
    </row>
    <row r="61">
      <c r="A61" s="22">
        <v>59.0</v>
      </c>
      <c r="B61" s="21" t="s">
        <v>64</v>
      </c>
      <c r="C61" s="21" t="s">
        <v>102</v>
      </c>
      <c r="D61" s="21" t="s">
        <v>78</v>
      </c>
      <c r="E61" s="21" t="s">
        <v>45</v>
      </c>
      <c r="F61" s="22">
        <v>54.0</v>
      </c>
      <c r="G61" s="29">
        <v>44188.0</v>
      </c>
      <c r="H61" s="35"/>
      <c r="I61" s="26" t="s">
        <v>100</v>
      </c>
      <c r="J61" s="28" t="b">
        <v>0</v>
      </c>
      <c r="K61" s="32" t="s">
        <v>101</v>
      </c>
    </row>
    <row r="62">
      <c r="A62" s="22">
        <v>60.0</v>
      </c>
      <c r="B62" s="21" t="s">
        <v>10</v>
      </c>
      <c r="C62" s="21" t="s">
        <v>103</v>
      </c>
      <c r="D62" s="21" t="s">
        <v>78</v>
      </c>
      <c r="E62" s="21" t="s">
        <v>45</v>
      </c>
      <c r="F62" s="22">
        <v>55.0</v>
      </c>
      <c r="G62" s="29">
        <v>44188.0</v>
      </c>
      <c r="H62" s="36"/>
      <c r="I62" s="26" t="s">
        <v>100</v>
      </c>
      <c r="J62" s="28" t="b">
        <v>0</v>
      </c>
      <c r="K62" s="32" t="s">
        <v>101</v>
      </c>
    </row>
    <row r="63">
      <c r="A63" s="22">
        <v>61.0</v>
      </c>
      <c r="B63" s="21" t="s">
        <v>27</v>
      </c>
      <c r="C63" s="21" t="s">
        <v>104</v>
      </c>
      <c r="D63" s="21" t="s">
        <v>17</v>
      </c>
      <c r="E63" s="21" t="s">
        <v>79</v>
      </c>
      <c r="F63" s="22">
        <v>56.0</v>
      </c>
      <c r="G63" s="29">
        <v>44202.0</v>
      </c>
      <c r="H63" s="36"/>
      <c r="I63" s="26" t="s">
        <v>105</v>
      </c>
      <c r="J63" s="14" t="b">
        <v>1</v>
      </c>
    </row>
    <row r="64">
      <c r="A64" s="22">
        <v>62.0</v>
      </c>
      <c r="B64" s="21" t="s">
        <v>106</v>
      </c>
      <c r="C64" s="21" t="s">
        <v>107</v>
      </c>
      <c r="D64" s="21" t="s">
        <v>88</v>
      </c>
      <c r="E64" s="21" t="s">
        <v>29</v>
      </c>
      <c r="F64" s="22">
        <v>57.0</v>
      </c>
      <c r="G64" s="29">
        <v>44278.0</v>
      </c>
      <c r="H64" s="37" t="s">
        <v>31</v>
      </c>
      <c r="I64" s="26" t="s">
        <v>108</v>
      </c>
      <c r="J64" s="14" t="b">
        <v>0</v>
      </c>
    </row>
    <row r="65">
      <c r="A65" s="22">
        <v>63.0</v>
      </c>
      <c r="B65" s="21" t="s">
        <v>106</v>
      </c>
      <c r="C65" s="21" t="s">
        <v>109</v>
      </c>
      <c r="D65" s="21" t="s">
        <v>78</v>
      </c>
      <c r="E65" s="21" t="s">
        <v>29</v>
      </c>
      <c r="F65" s="22">
        <v>58.0</v>
      </c>
      <c r="G65" s="29">
        <v>44509.0</v>
      </c>
      <c r="H65" s="36"/>
      <c r="I65" s="26" t="s">
        <v>108</v>
      </c>
      <c r="J65" s="28" t="b">
        <v>0</v>
      </c>
    </row>
    <row r="66">
      <c r="A66" s="22">
        <v>64.0</v>
      </c>
      <c r="B66" s="21" t="s">
        <v>110</v>
      </c>
      <c r="C66" s="21" t="s">
        <v>111</v>
      </c>
      <c r="D66" s="21" t="s">
        <v>88</v>
      </c>
      <c r="E66" s="21" t="s">
        <v>29</v>
      </c>
      <c r="F66" s="22">
        <v>59.0</v>
      </c>
      <c r="G66" s="29">
        <v>44278.0</v>
      </c>
      <c r="H66" s="37" t="s">
        <v>31</v>
      </c>
      <c r="I66" s="26" t="s">
        <v>108</v>
      </c>
      <c r="J66" s="28" t="b">
        <v>0</v>
      </c>
    </row>
    <row r="67">
      <c r="A67" s="22">
        <v>65.0</v>
      </c>
      <c r="B67" s="21" t="s">
        <v>112</v>
      </c>
      <c r="C67" s="21" t="s">
        <v>113</v>
      </c>
      <c r="D67" s="21" t="s">
        <v>78</v>
      </c>
      <c r="E67" s="21" t="s">
        <v>29</v>
      </c>
      <c r="F67" s="22">
        <v>60.0</v>
      </c>
      <c r="G67" s="29">
        <v>44509.0</v>
      </c>
      <c r="H67" s="36"/>
      <c r="I67" s="26" t="s">
        <v>108</v>
      </c>
      <c r="J67" s="28" t="b">
        <v>0</v>
      </c>
    </row>
    <row r="68">
      <c r="A68" s="22">
        <v>66.0</v>
      </c>
      <c r="B68" s="21" t="s">
        <v>37</v>
      </c>
      <c r="C68" s="21" t="s">
        <v>91</v>
      </c>
      <c r="D68" s="21" t="s">
        <v>88</v>
      </c>
      <c r="E68" s="21" t="s">
        <v>45</v>
      </c>
      <c r="F68" s="22">
        <v>61.0</v>
      </c>
      <c r="G68" s="29">
        <v>44218.0</v>
      </c>
      <c r="H68" s="33" t="s">
        <v>31</v>
      </c>
      <c r="I68" s="26" t="s">
        <v>114</v>
      </c>
      <c r="J68" s="14" t="b">
        <v>1</v>
      </c>
    </row>
    <row r="69">
      <c r="A69" s="22">
        <v>67.0</v>
      </c>
      <c r="B69" s="21" t="s">
        <v>63</v>
      </c>
      <c r="C69" s="21" t="s">
        <v>115</v>
      </c>
      <c r="D69" s="21" t="s">
        <v>88</v>
      </c>
      <c r="E69" s="21" t="s">
        <v>45</v>
      </c>
      <c r="F69" s="22">
        <v>62.0</v>
      </c>
      <c r="G69" s="29">
        <v>44218.0</v>
      </c>
      <c r="H69" s="33" t="s">
        <v>31</v>
      </c>
      <c r="I69" s="26" t="s">
        <v>108</v>
      </c>
      <c r="J69" s="14" t="b">
        <v>1</v>
      </c>
    </row>
    <row r="70">
      <c r="A70" s="22">
        <v>68.0</v>
      </c>
      <c r="B70" s="21" t="s">
        <v>64</v>
      </c>
      <c r="C70" s="21" t="s">
        <v>116</v>
      </c>
      <c r="D70" s="21" t="s">
        <v>88</v>
      </c>
      <c r="E70" s="21" t="s">
        <v>45</v>
      </c>
      <c r="F70" s="22">
        <v>63.0</v>
      </c>
      <c r="G70" s="29">
        <v>44218.0</v>
      </c>
      <c r="H70" s="33" t="s">
        <v>31</v>
      </c>
      <c r="I70" s="26" t="s">
        <v>117</v>
      </c>
      <c r="J70" s="14" t="b">
        <v>1</v>
      </c>
      <c r="K70" s="32" t="s">
        <v>118</v>
      </c>
    </row>
    <row r="71">
      <c r="A71" s="22">
        <v>69.0</v>
      </c>
      <c r="B71" s="21" t="s">
        <v>56</v>
      </c>
      <c r="C71" s="21" t="s">
        <v>70</v>
      </c>
      <c r="D71" s="21" t="s">
        <v>88</v>
      </c>
      <c r="E71" s="21" t="s">
        <v>45</v>
      </c>
      <c r="F71" s="22">
        <v>64.0</v>
      </c>
      <c r="G71" s="29">
        <v>44218.0</v>
      </c>
      <c r="H71" s="33" t="s">
        <v>31</v>
      </c>
      <c r="I71" s="26" t="s">
        <v>117</v>
      </c>
      <c r="J71" s="28" t="b">
        <v>0</v>
      </c>
    </row>
    <row r="72">
      <c r="A72" s="22">
        <v>70.0</v>
      </c>
      <c r="B72" s="21" t="s">
        <v>56</v>
      </c>
      <c r="C72" s="21" t="s">
        <v>119</v>
      </c>
      <c r="D72" s="21" t="s">
        <v>88</v>
      </c>
      <c r="E72" s="21" t="s">
        <v>45</v>
      </c>
      <c r="F72" s="22">
        <v>65.0</v>
      </c>
      <c r="G72" s="29">
        <v>44278.0</v>
      </c>
      <c r="H72" s="37" t="s">
        <v>31</v>
      </c>
      <c r="I72" s="26" t="s">
        <v>108</v>
      </c>
      <c r="J72" s="28" t="b">
        <v>0</v>
      </c>
    </row>
    <row r="73">
      <c r="A73" s="22">
        <v>71.0</v>
      </c>
      <c r="B73" s="21" t="s">
        <v>110</v>
      </c>
      <c r="C73" s="21" t="s">
        <v>120</v>
      </c>
      <c r="D73" s="21" t="s">
        <v>88</v>
      </c>
      <c r="E73" s="21" t="s">
        <v>45</v>
      </c>
      <c r="F73" s="22">
        <v>66.0</v>
      </c>
      <c r="G73" s="29">
        <v>44272.0</v>
      </c>
      <c r="H73" s="37" t="s">
        <v>31</v>
      </c>
      <c r="I73" s="26" t="s">
        <v>108</v>
      </c>
      <c r="J73" s="28" t="b">
        <v>0</v>
      </c>
    </row>
    <row r="74">
      <c r="A74" s="22">
        <v>72.0</v>
      </c>
      <c r="B74" s="21" t="s">
        <v>112</v>
      </c>
      <c r="C74" s="21" t="s">
        <v>121</v>
      </c>
      <c r="D74" s="21" t="s">
        <v>88</v>
      </c>
      <c r="E74" s="21" t="s">
        <v>45</v>
      </c>
      <c r="F74" s="22">
        <v>67.0</v>
      </c>
      <c r="G74" s="29">
        <v>44516.0</v>
      </c>
      <c r="H74" s="37" t="s">
        <v>31</v>
      </c>
      <c r="I74" s="26" t="s">
        <v>108</v>
      </c>
      <c r="J74" s="14" t="b">
        <v>1</v>
      </c>
    </row>
    <row r="75">
      <c r="A75" s="22">
        <v>73.0</v>
      </c>
      <c r="B75" s="21" t="s">
        <v>63</v>
      </c>
      <c r="C75" s="21" t="s">
        <v>122</v>
      </c>
      <c r="D75" s="21" t="s">
        <v>88</v>
      </c>
      <c r="E75" s="21" t="s">
        <v>45</v>
      </c>
      <c r="F75" s="22">
        <v>68.0</v>
      </c>
      <c r="G75" s="29">
        <v>44413.0</v>
      </c>
      <c r="H75" s="37" t="s">
        <v>31</v>
      </c>
      <c r="I75" s="26" t="s">
        <v>108</v>
      </c>
      <c r="J75" s="14" t="b">
        <v>1</v>
      </c>
    </row>
    <row r="76">
      <c r="A76" s="22">
        <v>74.0</v>
      </c>
      <c r="B76" s="21" t="s">
        <v>37</v>
      </c>
      <c r="C76" s="21" t="s">
        <v>123</v>
      </c>
      <c r="D76" s="21" t="s">
        <v>88</v>
      </c>
      <c r="E76" s="21" t="s">
        <v>45</v>
      </c>
      <c r="F76" s="22">
        <v>69.0</v>
      </c>
      <c r="G76" s="29">
        <v>44413.0</v>
      </c>
      <c r="H76" s="38" t="s">
        <v>31</v>
      </c>
      <c r="I76" s="26" t="s">
        <v>108</v>
      </c>
      <c r="J76" s="28" t="b">
        <v>0</v>
      </c>
      <c r="K76" s="32" t="s">
        <v>124</v>
      </c>
    </row>
    <row r="77">
      <c r="A77" s="22">
        <v>75.0</v>
      </c>
      <c r="B77" s="21" t="s">
        <v>63</v>
      </c>
      <c r="C77" s="21" t="s">
        <v>36</v>
      </c>
      <c r="D77" s="21" t="s">
        <v>88</v>
      </c>
      <c r="E77" s="21" t="s">
        <v>45</v>
      </c>
      <c r="F77" s="22">
        <v>70.0</v>
      </c>
      <c r="G77" s="29">
        <v>44518.0</v>
      </c>
      <c r="H77" s="36"/>
      <c r="I77" s="26" t="s">
        <v>108</v>
      </c>
      <c r="J77" s="28" t="b">
        <v>0</v>
      </c>
      <c r="K77" s="32" t="s">
        <v>124</v>
      </c>
    </row>
    <row r="78">
      <c r="A78" s="22">
        <v>76.0</v>
      </c>
      <c r="B78" s="21" t="s">
        <v>27</v>
      </c>
      <c r="C78" s="21" t="s">
        <v>16</v>
      </c>
      <c r="D78" s="21" t="s">
        <v>17</v>
      </c>
      <c r="E78" s="21" t="s">
        <v>79</v>
      </c>
      <c r="F78" s="22">
        <v>71.0</v>
      </c>
      <c r="G78" s="29">
        <v>44264.0</v>
      </c>
      <c r="H78" s="38" t="s">
        <v>31</v>
      </c>
      <c r="I78" s="26" t="s">
        <v>105</v>
      </c>
      <c r="J78" s="14" t="b">
        <v>1</v>
      </c>
    </row>
    <row r="79">
      <c r="A79" s="22">
        <v>77.0</v>
      </c>
      <c r="B79" s="21" t="s">
        <v>34</v>
      </c>
      <c r="C79" s="21" t="s">
        <v>104</v>
      </c>
      <c r="D79" s="21" t="s">
        <v>17</v>
      </c>
      <c r="E79" s="21" t="s">
        <v>79</v>
      </c>
      <c r="F79" s="22">
        <v>72.0</v>
      </c>
      <c r="G79" s="29">
        <v>44265.0</v>
      </c>
      <c r="H79" s="38" t="s">
        <v>31</v>
      </c>
      <c r="I79" s="26" t="s">
        <v>105</v>
      </c>
      <c r="J79" s="28" t="b">
        <v>0</v>
      </c>
    </row>
    <row r="80">
      <c r="A80" s="22">
        <v>78.0</v>
      </c>
      <c r="B80" s="21" t="s">
        <v>69</v>
      </c>
      <c r="C80" s="21" t="s">
        <v>16</v>
      </c>
      <c r="D80" s="21" t="s">
        <v>17</v>
      </c>
      <c r="E80" s="21" t="s">
        <v>79</v>
      </c>
      <c r="F80" s="22">
        <v>73.0</v>
      </c>
      <c r="G80" s="29">
        <v>44265.0</v>
      </c>
      <c r="H80" s="38" t="s">
        <v>31</v>
      </c>
      <c r="I80" s="26" t="s">
        <v>105</v>
      </c>
      <c r="J80" s="28" t="b">
        <v>0</v>
      </c>
    </row>
    <row r="81">
      <c r="A81" s="22">
        <v>79.0</v>
      </c>
      <c r="B81" s="21" t="s">
        <v>110</v>
      </c>
      <c r="C81" s="21" t="s">
        <v>77</v>
      </c>
      <c r="D81" s="21" t="s">
        <v>78</v>
      </c>
      <c r="E81" s="21" t="s">
        <v>29</v>
      </c>
      <c r="F81" s="22">
        <v>74.0</v>
      </c>
      <c r="G81" s="29">
        <v>44272.0</v>
      </c>
      <c r="H81" s="37" t="s">
        <v>31</v>
      </c>
      <c r="I81" s="21" t="s">
        <v>125</v>
      </c>
      <c r="J81" s="14" t="b">
        <v>1</v>
      </c>
    </row>
    <row r="82">
      <c r="A82" s="22">
        <v>80.0</v>
      </c>
      <c r="B82" s="21" t="s">
        <v>63</v>
      </c>
      <c r="C82" s="21" t="s">
        <v>77</v>
      </c>
      <c r="D82" s="21" t="s">
        <v>78</v>
      </c>
      <c r="E82" s="21" t="s">
        <v>29</v>
      </c>
      <c r="F82" s="22">
        <v>75.0</v>
      </c>
      <c r="G82" s="29">
        <v>44272.0</v>
      </c>
      <c r="H82" s="37" t="s">
        <v>31</v>
      </c>
      <c r="I82" s="21" t="s">
        <v>125</v>
      </c>
      <c r="J82" s="14" t="b">
        <v>1</v>
      </c>
    </row>
    <row r="83">
      <c r="A83" s="22">
        <v>81.0</v>
      </c>
      <c r="B83" s="21" t="s">
        <v>110</v>
      </c>
      <c r="C83" s="21" t="s">
        <v>126</v>
      </c>
      <c r="D83" s="21" t="s">
        <v>88</v>
      </c>
      <c r="E83" s="21" t="s">
        <v>45</v>
      </c>
      <c r="F83" s="22">
        <v>76.0</v>
      </c>
      <c r="G83" s="29">
        <v>44272.0</v>
      </c>
      <c r="H83" s="37" t="s">
        <v>31</v>
      </c>
      <c r="I83" s="26" t="s">
        <v>108</v>
      </c>
      <c r="J83" s="28" t="b">
        <v>0</v>
      </c>
    </row>
    <row r="84">
      <c r="A84" s="22">
        <v>82.0</v>
      </c>
      <c r="B84" s="21" t="s">
        <v>110</v>
      </c>
      <c r="C84" s="21" t="s">
        <v>127</v>
      </c>
      <c r="D84" s="21" t="s">
        <v>88</v>
      </c>
      <c r="E84" s="21" t="s">
        <v>45</v>
      </c>
      <c r="F84" s="22">
        <v>77.0</v>
      </c>
      <c r="G84" s="29">
        <v>44278.0</v>
      </c>
      <c r="H84" s="37" t="s">
        <v>31</v>
      </c>
      <c r="I84" s="26" t="s">
        <v>108</v>
      </c>
      <c r="J84" s="28" t="b">
        <v>0</v>
      </c>
    </row>
    <row r="85">
      <c r="A85" s="22">
        <v>83.0</v>
      </c>
      <c r="B85" s="21" t="s">
        <v>106</v>
      </c>
      <c r="C85" s="21" t="s">
        <v>119</v>
      </c>
      <c r="D85" s="21" t="s">
        <v>88</v>
      </c>
      <c r="E85" s="21" t="s">
        <v>45</v>
      </c>
      <c r="F85" s="22">
        <v>78.0</v>
      </c>
      <c r="G85" s="29">
        <v>44278.0</v>
      </c>
      <c r="H85" s="37" t="s">
        <v>31</v>
      </c>
      <c r="I85" s="26" t="s">
        <v>108</v>
      </c>
      <c r="J85" s="28" t="b">
        <v>0</v>
      </c>
    </row>
    <row r="86">
      <c r="A86" s="22">
        <v>84.0</v>
      </c>
      <c r="B86" s="21" t="s">
        <v>56</v>
      </c>
      <c r="C86" s="21" t="s">
        <v>107</v>
      </c>
      <c r="D86" s="21" t="s">
        <v>88</v>
      </c>
      <c r="E86" s="21" t="s">
        <v>45</v>
      </c>
      <c r="F86" s="22">
        <v>79.0</v>
      </c>
      <c r="G86" s="29">
        <v>44278.0</v>
      </c>
      <c r="H86" s="37" t="s">
        <v>31</v>
      </c>
      <c r="I86" s="26" t="s">
        <v>108</v>
      </c>
      <c r="J86" s="28" t="b">
        <v>0</v>
      </c>
    </row>
    <row r="87">
      <c r="A87" s="22">
        <v>85.0</v>
      </c>
      <c r="B87" s="21" t="s">
        <v>128</v>
      </c>
      <c r="C87" s="21" t="s">
        <v>129</v>
      </c>
      <c r="D87" s="21" t="s">
        <v>88</v>
      </c>
      <c r="E87" s="21" t="s">
        <v>45</v>
      </c>
      <c r="F87" s="22">
        <v>80.0</v>
      </c>
      <c r="G87" s="29">
        <v>44279.0</v>
      </c>
      <c r="H87" s="38" t="s">
        <v>31</v>
      </c>
      <c r="I87" s="21" t="s">
        <v>130</v>
      </c>
      <c r="J87" s="14" t="b">
        <v>1</v>
      </c>
    </row>
    <row r="88">
      <c r="A88" s="22">
        <v>86.0</v>
      </c>
      <c r="B88" s="21" t="s">
        <v>64</v>
      </c>
      <c r="C88" s="21" t="s">
        <v>131</v>
      </c>
      <c r="D88" s="21" t="s">
        <v>78</v>
      </c>
      <c r="E88" s="21" t="s">
        <v>64</v>
      </c>
      <c r="F88" s="22">
        <v>81.0</v>
      </c>
      <c r="G88" s="29">
        <v>44280.0</v>
      </c>
      <c r="H88" s="38" t="s">
        <v>31</v>
      </c>
      <c r="I88" s="21" t="s">
        <v>132</v>
      </c>
      <c r="J88" s="14" t="b">
        <v>1</v>
      </c>
    </row>
    <row r="89">
      <c r="A89" s="22">
        <v>87.0</v>
      </c>
      <c r="B89" s="21" t="s">
        <v>64</v>
      </c>
      <c r="C89" s="21" t="s">
        <v>133</v>
      </c>
      <c r="D89" s="21" t="s">
        <v>88</v>
      </c>
      <c r="E89" s="21" t="s">
        <v>13</v>
      </c>
      <c r="F89" s="22">
        <v>82.0</v>
      </c>
      <c r="G89" s="29">
        <v>44427.0</v>
      </c>
      <c r="H89" s="38" t="s">
        <v>31</v>
      </c>
      <c r="I89" s="21" t="s">
        <v>134</v>
      </c>
      <c r="J89" s="28" t="b">
        <v>0</v>
      </c>
      <c r="K89" s="32" t="s">
        <v>135</v>
      </c>
    </row>
    <row r="90">
      <c r="A90" s="22">
        <v>88.0</v>
      </c>
      <c r="B90" s="21" t="s">
        <v>136</v>
      </c>
      <c r="C90" s="21" t="s">
        <v>77</v>
      </c>
      <c r="D90" s="21" t="s">
        <v>78</v>
      </c>
      <c r="E90" s="21" t="s">
        <v>13</v>
      </c>
      <c r="F90" s="22">
        <v>83.0</v>
      </c>
      <c r="G90" s="29">
        <v>44282.0</v>
      </c>
      <c r="H90" s="38" t="s">
        <v>31</v>
      </c>
      <c r="I90" s="21" t="s">
        <v>137</v>
      </c>
      <c r="J90" s="14" t="b">
        <v>1</v>
      </c>
    </row>
    <row r="91">
      <c r="A91" s="22">
        <v>89.0</v>
      </c>
      <c r="B91" s="21" t="s">
        <v>136</v>
      </c>
      <c r="C91" s="21" t="s">
        <v>77</v>
      </c>
      <c r="D91" s="21" t="s">
        <v>78</v>
      </c>
      <c r="E91" s="21" t="s">
        <v>45</v>
      </c>
      <c r="F91" s="22">
        <v>84.0</v>
      </c>
      <c r="G91" s="29">
        <v>44284.0</v>
      </c>
      <c r="H91" s="36"/>
      <c r="I91" s="21" t="s">
        <v>138</v>
      </c>
      <c r="J91" s="28" t="b">
        <v>0</v>
      </c>
    </row>
    <row r="92">
      <c r="A92" s="22">
        <v>90.0</v>
      </c>
      <c r="B92" s="21" t="s">
        <v>63</v>
      </c>
      <c r="C92" s="21" t="s">
        <v>139</v>
      </c>
      <c r="D92" s="21" t="s">
        <v>78</v>
      </c>
      <c r="E92" s="21" t="s">
        <v>45</v>
      </c>
      <c r="F92" s="22">
        <v>85.0</v>
      </c>
      <c r="G92" s="29">
        <v>44284.0</v>
      </c>
      <c r="H92" s="36"/>
      <c r="I92" s="21" t="s">
        <v>138</v>
      </c>
      <c r="J92" s="28" t="b">
        <v>0</v>
      </c>
    </row>
    <row r="93">
      <c r="A93" s="22">
        <v>91.0</v>
      </c>
      <c r="B93" s="21" t="s">
        <v>27</v>
      </c>
      <c r="C93" s="21" t="s">
        <v>28</v>
      </c>
      <c r="D93" s="21" t="s">
        <v>22</v>
      </c>
      <c r="E93" s="21" t="s">
        <v>29</v>
      </c>
      <c r="F93" s="22">
        <v>86.0</v>
      </c>
      <c r="G93" s="29">
        <v>44296.0</v>
      </c>
      <c r="H93" s="37" t="s">
        <v>31</v>
      </c>
      <c r="I93" s="21" t="s">
        <v>140</v>
      </c>
      <c r="J93" s="14" t="b">
        <v>1</v>
      </c>
    </row>
    <row r="94">
      <c r="A94" s="22">
        <v>92.0</v>
      </c>
      <c r="B94" s="21" t="s">
        <v>32</v>
      </c>
      <c r="C94" s="21" t="s">
        <v>33</v>
      </c>
      <c r="D94" s="21" t="s">
        <v>22</v>
      </c>
      <c r="E94" s="21" t="s">
        <v>29</v>
      </c>
      <c r="F94" s="22">
        <v>87.0</v>
      </c>
      <c r="G94" s="29">
        <v>44296.0</v>
      </c>
      <c r="H94" s="37" t="s">
        <v>31</v>
      </c>
      <c r="I94" s="21" t="s">
        <v>141</v>
      </c>
      <c r="J94" s="14" t="b">
        <v>1</v>
      </c>
    </row>
    <row r="95">
      <c r="A95" s="22">
        <v>93.0</v>
      </c>
      <c r="B95" s="21" t="s">
        <v>25</v>
      </c>
      <c r="C95" s="21" t="s">
        <v>77</v>
      </c>
      <c r="D95" s="21" t="s">
        <v>78</v>
      </c>
      <c r="E95" s="21" t="s">
        <v>45</v>
      </c>
      <c r="F95" s="22">
        <v>88.0</v>
      </c>
      <c r="G95" s="29">
        <v>44298.0</v>
      </c>
      <c r="H95" s="36"/>
      <c r="I95" s="21" t="s">
        <v>142</v>
      </c>
      <c r="J95" s="14" t="b">
        <v>1</v>
      </c>
    </row>
    <row r="96">
      <c r="A96" s="22">
        <v>94.0</v>
      </c>
      <c r="B96" s="21" t="s">
        <v>27</v>
      </c>
      <c r="C96" s="21" t="s">
        <v>104</v>
      </c>
      <c r="D96" s="21" t="s">
        <v>17</v>
      </c>
      <c r="E96" s="21" t="s">
        <v>29</v>
      </c>
      <c r="F96" s="22">
        <v>89.0</v>
      </c>
      <c r="G96" s="29">
        <v>44302.0</v>
      </c>
      <c r="H96" s="36"/>
      <c r="I96" s="21" t="s">
        <v>143</v>
      </c>
      <c r="J96" s="28" t="b">
        <v>0</v>
      </c>
    </row>
    <row r="97">
      <c r="A97" s="22">
        <v>95.0</v>
      </c>
      <c r="B97" s="21" t="s">
        <v>69</v>
      </c>
      <c r="C97" s="21" t="s">
        <v>55</v>
      </c>
      <c r="D97" s="21" t="s">
        <v>17</v>
      </c>
      <c r="E97" s="21" t="s">
        <v>79</v>
      </c>
      <c r="F97" s="22">
        <v>90.0</v>
      </c>
      <c r="G97" s="29">
        <v>44305.0</v>
      </c>
      <c r="H97" s="36"/>
      <c r="I97" s="21" t="s">
        <v>144</v>
      </c>
      <c r="J97" s="28" t="b">
        <v>0</v>
      </c>
    </row>
    <row r="98">
      <c r="A98" s="39">
        <v>96.0</v>
      </c>
      <c r="B98" s="40" t="s">
        <v>69</v>
      </c>
      <c r="C98" s="40" t="s">
        <v>16</v>
      </c>
      <c r="D98" s="40" t="s">
        <v>17</v>
      </c>
      <c r="E98" s="40" t="s">
        <v>79</v>
      </c>
      <c r="F98" s="39">
        <v>91.0</v>
      </c>
      <c r="G98" s="41">
        <v>44305.0</v>
      </c>
      <c r="H98" s="42"/>
      <c r="I98" s="40" t="s">
        <v>144</v>
      </c>
      <c r="J98" s="28" t="b">
        <v>0</v>
      </c>
    </row>
    <row r="99">
      <c r="A99" s="43">
        <v>97.0</v>
      </c>
      <c r="B99" s="44" t="s">
        <v>145</v>
      </c>
      <c r="C99" s="44" t="s">
        <v>77</v>
      </c>
      <c r="D99" s="44" t="s">
        <v>78</v>
      </c>
      <c r="E99" s="44" t="s">
        <v>29</v>
      </c>
      <c r="F99" s="43">
        <v>92.0</v>
      </c>
      <c r="G99" s="45">
        <v>44363.0</v>
      </c>
      <c r="H99" s="46"/>
      <c r="I99" s="44" t="s">
        <v>146</v>
      </c>
      <c r="J99" s="47" t="b">
        <v>0</v>
      </c>
    </row>
    <row r="100">
      <c r="A100" s="48">
        <v>98.0</v>
      </c>
      <c r="B100" s="49" t="s">
        <v>27</v>
      </c>
      <c r="C100" s="49" t="s">
        <v>55</v>
      </c>
      <c r="D100" s="49" t="s">
        <v>147</v>
      </c>
      <c r="E100" s="49" t="s">
        <v>29</v>
      </c>
      <c r="F100" s="48">
        <v>93.0</v>
      </c>
      <c r="G100" s="50">
        <v>44365.0</v>
      </c>
      <c r="H100" s="51"/>
      <c r="I100" s="49" t="s">
        <v>148</v>
      </c>
      <c r="J100" s="52" t="b">
        <v>1</v>
      </c>
    </row>
    <row r="101">
      <c r="A101" s="22">
        <v>99.0</v>
      </c>
      <c r="B101" s="21" t="s">
        <v>99</v>
      </c>
      <c r="C101" s="21" t="s">
        <v>149</v>
      </c>
      <c r="D101" s="21" t="s">
        <v>150</v>
      </c>
      <c r="E101" s="21" t="s">
        <v>23</v>
      </c>
      <c r="F101" s="22">
        <v>94.0</v>
      </c>
      <c r="G101" s="29">
        <v>44427.0</v>
      </c>
      <c r="H101" s="38" t="s">
        <v>31</v>
      </c>
      <c r="I101" s="21" t="s">
        <v>151</v>
      </c>
      <c r="J101" s="28" t="b">
        <v>0</v>
      </c>
      <c r="K101" s="32" t="s">
        <v>135</v>
      </c>
    </row>
    <row r="102">
      <c r="A102" s="22">
        <v>100.0</v>
      </c>
      <c r="B102" s="21" t="s">
        <v>136</v>
      </c>
      <c r="C102" s="21" t="s">
        <v>152</v>
      </c>
      <c r="D102" s="21" t="s">
        <v>78</v>
      </c>
      <c r="E102" s="21" t="s">
        <v>13</v>
      </c>
      <c r="F102" s="22">
        <v>95.0</v>
      </c>
      <c r="G102" s="29">
        <v>44383.0</v>
      </c>
      <c r="H102" s="36"/>
      <c r="I102" s="21" t="s">
        <v>153</v>
      </c>
      <c r="J102" s="28" t="b">
        <v>0</v>
      </c>
    </row>
    <row r="103">
      <c r="A103" s="22">
        <v>101.0</v>
      </c>
      <c r="B103" s="21" t="s">
        <v>136</v>
      </c>
      <c r="C103" s="21" t="s">
        <v>133</v>
      </c>
      <c r="D103" s="21" t="s">
        <v>78</v>
      </c>
      <c r="E103" s="21" t="s">
        <v>13</v>
      </c>
      <c r="F103" s="22">
        <v>96.0</v>
      </c>
      <c r="G103" s="29">
        <v>44392.0</v>
      </c>
      <c r="H103" s="36"/>
      <c r="I103" s="21" t="s">
        <v>154</v>
      </c>
      <c r="J103" s="14" t="b">
        <v>1</v>
      </c>
    </row>
    <row r="104">
      <c r="A104" s="22">
        <v>102.0</v>
      </c>
      <c r="B104" s="21" t="s">
        <v>10</v>
      </c>
      <c r="C104" s="21" t="s">
        <v>155</v>
      </c>
      <c r="D104" s="21" t="s">
        <v>78</v>
      </c>
      <c r="E104" s="21" t="s">
        <v>45</v>
      </c>
      <c r="F104" s="22">
        <v>97.0</v>
      </c>
      <c r="G104" s="29">
        <v>44392.0</v>
      </c>
      <c r="H104" s="36"/>
      <c r="I104" s="21" t="s">
        <v>156</v>
      </c>
      <c r="J104" s="14" t="b">
        <v>1</v>
      </c>
    </row>
    <row r="105">
      <c r="A105" s="22">
        <v>103.0</v>
      </c>
      <c r="B105" s="21" t="s">
        <v>27</v>
      </c>
      <c r="C105" s="21" t="s">
        <v>157</v>
      </c>
      <c r="D105" s="21" t="s">
        <v>22</v>
      </c>
      <c r="E105" s="21" t="s">
        <v>45</v>
      </c>
      <c r="F105" s="22">
        <v>98.0</v>
      </c>
      <c r="G105" s="29">
        <v>44396.0</v>
      </c>
      <c r="H105" s="36"/>
      <c r="I105" s="21" t="s">
        <v>158</v>
      </c>
      <c r="J105" s="28" t="b">
        <v>0</v>
      </c>
    </row>
    <row r="106">
      <c r="A106" s="22">
        <v>104.0</v>
      </c>
      <c r="B106" s="21" t="s">
        <v>43</v>
      </c>
      <c r="C106" s="21" t="s">
        <v>33</v>
      </c>
      <c r="D106" s="21" t="s">
        <v>22</v>
      </c>
      <c r="E106" s="21" t="s">
        <v>45</v>
      </c>
      <c r="F106" s="22">
        <v>99.0</v>
      </c>
      <c r="G106" s="29">
        <v>44396.0</v>
      </c>
      <c r="H106" s="36"/>
      <c r="I106" s="21" t="s">
        <v>158</v>
      </c>
      <c r="J106" s="28" t="b">
        <v>0</v>
      </c>
    </row>
    <row r="107">
      <c r="A107" s="22">
        <v>105.0</v>
      </c>
      <c r="B107" s="21" t="s">
        <v>136</v>
      </c>
      <c r="C107" s="21" t="s">
        <v>159</v>
      </c>
      <c r="D107" s="21" t="s">
        <v>78</v>
      </c>
      <c r="E107" s="21" t="s">
        <v>13</v>
      </c>
      <c r="F107" s="22">
        <v>100.0</v>
      </c>
      <c r="G107" s="29">
        <v>44404.0</v>
      </c>
      <c r="H107" s="36"/>
      <c r="I107" s="21" t="s">
        <v>154</v>
      </c>
      <c r="J107" s="28" t="b">
        <v>0</v>
      </c>
    </row>
    <row r="108">
      <c r="A108" s="22">
        <v>106.0</v>
      </c>
      <c r="B108" s="21" t="s">
        <v>63</v>
      </c>
      <c r="C108" s="21" t="s">
        <v>36</v>
      </c>
      <c r="D108" s="21" t="s">
        <v>78</v>
      </c>
      <c r="E108" s="21" t="s">
        <v>29</v>
      </c>
      <c r="F108" s="22">
        <v>101.0</v>
      </c>
      <c r="G108" s="29">
        <v>44413.0</v>
      </c>
      <c r="H108" s="36"/>
      <c r="I108" s="21" t="s">
        <v>160</v>
      </c>
      <c r="J108" s="14" t="b">
        <v>1</v>
      </c>
    </row>
    <row r="109">
      <c r="A109" s="22">
        <v>107.0</v>
      </c>
      <c r="B109" s="21" t="s">
        <v>37</v>
      </c>
      <c r="C109" s="21" t="s">
        <v>123</v>
      </c>
      <c r="D109" s="21" t="s">
        <v>78</v>
      </c>
      <c r="E109" s="21" t="s">
        <v>45</v>
      </c>
      <c r="F109" s="22">
        <v>102.0</v>
      </c>
      <c r="G109" s="29">
        <v>44413.0</v>
      </c>
      <c r="H109" s="36"/>
      <c r="I109" s="21" t="s">
        <v>161</v>
      </c>
      <c r="J109" s="14" t="b">
        <v>1</v>
      </c>
    </row>
    <row r="110">
      <c r="A110" s="22">
        <v>108.0</v>
      </c>
      <c r="B110" s="21" t="s">
        <v>37</v>
      </c>
      <c r="C110" s="21" t="s">
        <v>162</v>
      </c>
      <c r="D110" s="21" t="s">
        <v>78</v>
      </c>
      <c r="E110" s="21" t="s">
        <v>45</v>
      </c>
      <c r="F110" s="22">
        <v>103.0</v>
      </c>
      <c r="G110" s="29">
        <v>44413.0</v>
      </c>
      <c r="H110" s="36"/>
      <c r="I110" s="21" t="s">
        <v>160</v>
      </c>
      <c r="J110" s="28" t="b">
        <v>0</v>
      </c>
    </row>
    <row r="111">
      <c r="A111" s="22">
        <v>109.0</v>
      </c>
      <c r="B111" s="21" t="s">
        <v>63</v>
      </c>
      <c r="C111" s="21" t="s">
        <v>36</v>
      </c>
      <c r="D111" s="21" t="s">
        <v>78</v>
      </c>
      <c r="E111" s="21" t="s">
        <v>29</v>
      </c>
      <c r="F111" s="22">
        <v>104.0</v>
      </c>
      <c r="G111" s="29">
        <v>44413.0</v>
      </c>
      <c r="H111" s="36"/>
      <c r="I111" s="21" t="s">
        <v>160</v>
      </c>
      <c r="J111" s="28" t="b">
        <v>0</v>
      </c>
    </row>
    <row r="112">
      <c r="A112" s="22">
        <v>110.0</v>
      </c>
      <c r="B112" s="21" t="s">
        <v>64</v>
      </c>
      <c r="C112" s="21" t="s">
        <v>163</v>
      </c>
      <c r="D112" s="21" t="s">
        <v>78</v>
      </c>
      <c r="E112" s="21" t="s">
        <v>13</v>
      </c>
      <c r="F112" s="22">
        <v>105.0</v>
      </c>
      <c r="G112" s="29">
        <v>44426.0</v>
      </c>
      <c r="H112" s="36"/>
      <c r="I112" s="21" t="s">
        <v>156</v>
      </c>
      <c r="J112" s="28" t="b">
        <v>0</v>
      </c>
    </row>
    <row r="113">
      <c r="A113" s="39">
        <v>111.0</v>
      </c>
      <c r="B113" s="40" t="s">
        <v>27</v>
      </c>
      <c r="C113" s="40" t="s">
        <v>164</v>
      </c>
      <c r="D113" s="40" t="s">
        <v>78</v>
      </c>
      <c r="E113" s="40" t="s">
        <v>29</v>
      </c>
      <c r="F113" s="39">
        <v>106.0</v>
      </c>
      <c r="G113" s="41">
        <v>44432.0</v>
      </c>
      <c r="H113" s="42"/>
      <c r="I113" s="40" t="s">
        <v>165</v>
      </c>
      <c r="J113" s="28" t="b">
        <v>0</v>
      </c>
    </row>
    <row r="114">
      <c r="A114" s="39">
        <v>112.0</v>
      </c>
      <c r="B114" s="40" t="s">
        <v>43</v>
      </c>
      <c r="C114" s="40" t="s">
        <v>166</v>
      </c>
      <c r="D114" s="40" t="s">
        <v>147</v>
      </c>
      <c r="E114" s="40" t="s">
        <v>29</v>
      </c>
      <c r="F114" s="39">
        <v>107.0</v>
      </c>
      <c r="G114" s="41">
        <v>44448.0</v>
      </c>
      <c r="H114" s="42"/>
      <c r="I114" s="40" t="s">
        <v>167</v>
      </c>
      <c r="J114" s="53" t="b">
        <v>1</v>
      </c>
    </row>
    <row r="115">
      <c r="A115" s="43">
        <v>113.0</v>
      </c>
      <c r="B115" s="44" t="s">
        <v>69</v>
      </c>
      <c r="C115" s="44" t="s">
        <v>168</v>
      </c>
      <c r="D115" s="44" t="s">
        <v>169</v>
      </c>
      <c r="E115" s="44" t="s">
        <v>13</v>
      </c>
      <c r="F115" s="43">
        <v>108.0</v>
      </c>
      <c r="G115" s="45">
        <v>44491.0</v>
      </c>
      <c r="H115" s="54" t="s">
        <v>31</v>
      </c>
      <c r="I115" s="44" t="s">
        <v>170</v>
      </c>
      <c r="J115" s="55" t="b">
        <v>0</v>
      </c>
    </row>
    <row r="116">
      <c r="A116" s="48">
        <v>114.0</v>
      </c>
      <c r="B116" s="49" t="s">
        <v>69</v>
      </c>
      <c r="C116" s="49" t="s">
        <v>77</v>
      </c>
      <c r="D116" s="49" t="s">
        <v>78</v>
      </c>
      <c r="E116" s="49" t="s">
        <v>13</v>
      </c>
      <c r="F116" s="48">
        <v>109.0</v>
      </c>
      <c r="G116" s="50">
        <v>44491.0</v>
      </c>
      <c r="H116" s="54" t="s">
        <v>31</v>
      </c>
      <c r="I116" s="49" t="s">
        <v>170</v>
      </c>
      <c r="J116" s="56" t="b">
        <v>0</v>
      </c>
    </row>
    <row r="117">
      <c r="A117" s="57">
        <v>115.0</v>
      </c>
      <c r="B117" s="58" t="s">
        <v>69</v>
      </c>
      <c r="C117" s="59" t="s">
        <v>171</v>
      </c>
      <c r="D117" s="58" t="s">
        <v>172</v>
      </c>
      <c r="E117" s="58" t="s">
        <v>13</v>
      </c>
      <c r="F117" s="57">
        <v>110.0</v>
      </c>
      <c r="G117" s="60">
        <v>44491.0</v>
      </c>
      <c r="H117" s="54" t="s">
        <v>31</v>
      </c>
      <c r="I117" s="58" t="s">
        <v>170</v>
      </c>
      <c r="J117" s="56" t="b">
        <v>0</v>
      </c>
      <c r="K117" s="61"/>
    </row>
    <row r="118">
      <c r="A118" s="22">
        <v>116.0</v>
      </c>
      <c r="B118" s="58" t="s">
        <v>69</v>
      </c>
      <c r="C118" s="21" t="s">
        <v>70</v>
      </c>
      <c r="D118" s="21" t="s">
        <v>65</v>
      </c>
      <c r="E118" s="58" t="s">
        <v>13</v>
      </c>
      <c r="F118" s="22">
        <v>111.0</v>
      </c>
      <c r="G118" s="29">
        <v>44491.0</v>
      </c>
      <c r="H118" s="54" t="s">
        <v>31</v>
      </c>
      <c r="I118" s="21" t="s">
        <v>170</v>
      </c>
      <c r="J118" s="56" t="b">
        <v>0</v>
      </c>
    </row>
    <row r="119">
      <c r="A119" s="22">
        <v>117.0</v>
      </c>
      <c r="B119" s="21" t="s">
        <v>20</v>
      </c>
      <c r="C119" s="21" t="s">
        <v>52</v>
      </c>
      <c r="D119" s="21" t="s">
        <v>22</v>
      </c>
      <c r="E119" s="21" t="s">
        <v>173</v>
      </c>
      <c r="F119" s="22">
        <v>112.0</v>
      </c>
      <c r="G119" s="62"/>
      <c r="H119" s="36"/>
      <c r="I119" s="63"/>
      <c r="J119" s="56" t="b">
        <v>0</v>
      </c>
    </row>
    <row r="120">
      <c r="A120" s="22">
        <v>118.0</v>
      </c>
      <c r="B120" s="21" t="s">
        <v>53</v>
      </c>
      <c r="C120" s="21" t="s">
        <v>54</v>
      </c>
      <c r="D120" s="21" t="s">
        <v>22</v>
      </c>
      <c r="E120" s="21" t="s">
        <v>173</v>
      </c>
      <c r="F120" s="22">
        <v>113.0</v>
      </c>
      <c r="G120" s="62"/>
      <c r="H120" s="36"/>
      <c r="I120" s="63"/>
      <c r="J120" s="56" t="b">
        <v>0</v>
      </c>
    </row>
    <row r="121">
      <c r="A121" s="22">
        <v>119.0</v>
      </c>
      <c r="B121" s="21" t="s">
        <v>34</v>
      </c>
      <c r="C121" s="21" t="s">
        <v>174</v>
      </c>
      <c r="D121" s="21" t="s">
        <v>17</v>
      </c>
      <c r="E121" s="21" t="s">
        <v>29</v>
      </c>
      <c r="F121" s="22">
        <v>114.0</v>
      </c>
      <c r="G121" s="29">
        <v>44501.0</v>
      </c>
      <c r="H121" s="38" t="s">
        <v>31</v>
      </c>
      <c r="I121" s="21" t="s">
        <v>175</v>
      </c>
      <c r="J121" s="56" t="b">
        <v>0</v>
      </c>
    </row>
    <row r="122">
      <c r="A122" s="22">
        <v>120.0</v>
      </c>
      <c r="B122" s="21" t="s">
        <v>99</v>
      </c>
      <c r="C122" s="21" t="s">
        <v>176</v>
      </c>
      <c r="D122" s="21" t="s">
        <v>22</v>
      </c>
      <c r="E122" s="21" t="s">
        <v>173</v>
      </c>
      <c r="F122" s="22">
        <v>115.0</v>
      </c>
      <c r="G122" s="29">
        <v>44503.0</v>
      </c>
      <c r="H122" s="38" t="s">
        <v>31</v>
      </c>
      <c r="I122" s="21" t="s">
        <v>177</v>
      </c>
      <c r="J122" s="56" t="b">
        <v>0</v>
      </c>
    </row>
    <row r="123">
      <c r="A123" s="22">
        <v>121.0</v>
      </c>
      <c r="B123" s="21" t="s">
        <v>69</v>
      </c>
      <c r="C123" s="21" t="s">
        <v>166</v>
      </c>
      <c r="D123" s="21" t="s">
        <v>17</v>
      </c>
      <c r="E123" s="21" t="s">
        <v>79</v>
      </c>
      <c r="F123" s="22">
        <v>116.0</v>
      </c>
      <c r="G123" s="29">
        <v>44507.0</v>
      </c>
      <c r="H123" s="38" t="s">
        <v>31</v>
      </c>
      <c r="I123" s="21" t="s">
        <v>178</v>
      </c>
      <c r="J123" s="56" t="b">
        <v>0</v>
      </c>
    </row>
    <row r="124">
      <c r="A124" s="22">
        <v>122.0</v>
      </c>
      <c r="B124" s="21" t="s">
        <v>63</v>
      </c>
      <c r="C124" s="21" t="s">
        <v>179</v>
      </c>
      <c r="D124" s="21" t="s">
        <v>78</v>
      </c>
      <c r="E124" s="21" t="s">
        <v>29</v>
      </c>
      <c r="F124" s="22">
        <v>117.0</v>
      </c>
      <c r="G124" s="29">
        <v>44516.0</v>
      </c>
      <c r="H124" s="37" t="s">
        <v>31</v>
      </c>
      <c r="I124" s="21" t="s">
        <v>108</v>
      </c>
      <c r="J124" s="52" t="b">
        <v>1</v>
      </c>
    </row>
    <row r="125">
      <c r="A125" s="64"/>
      <c r="B125" s="65"/>
      <c r="C125" s="65"/>
      <c r="D125" s="65"/>
      <c r="E125" s="65"/>
      <c r="F125" s="64"/>
      <c r="G125" s="64"/>
      <c r="H125" s="66"/>
      <c r="I125" s="65"/>
    </row>
    <row r="126">
      <c r="A126" s="64"/>
      <c r="B126" s="65"/>
      <c r="C126" s="65"/>
      <c r="D126" s="65"/>
      <c r="E126" s="65"/>
      <c r="F126" s="64"/>
      <c r="G126" s="64"/>
      <c r="H126" s="66"/>
      <c r="I126" s="65"/>
    </row>
    <row r="127">
      <c r="A127" s="64"/>
      <c r="B127" s="65"/>
      <c r="C127" s="65"/>
      <c r="D127" s="65"/>
      <c r="E127" s="65"/>
      <c r="F127" s="64"/>
      <c r="G127" s="64"/>
      <c r="H127" s="66"/>
      <c r="I127" s="65"/>
    </row>
    <row r="128">
      <c r="A128" s="64"/>
      <c r="B128" s="65"/>
      <c r="C128" s="65"/>
      <c r="D128" s="65"/>
      <c r="E128" s="65"/>
      <c r="F128" s="64"/>
      <c r="G128" s="64"/>
      <c r="H128" s="66"/>
      <c r="I128" s="65"/>
    </row>
    <row r="129">
      <c r="A129" s="64"/>
      <c r="B129" s="65"/>
      <c r="C129" s="65"/>
      <c r="D129" s="65"/>
      <c r="E129" s="65"/>
      <c r="F129" s="64"/>
      <c r="G129" s="64"/>
      <c r="H129" s="66"/>
      <c r="I129" s="65"/>
    </row>
    <row r="130">
      <c r="A130" s="64"/>
      <c r="B130" s="65"/>
      <c r="C130" s="65"/>
      <c r="D130" s="65"/>
      <c r="E130" s="65"/>
      <c r="F130" s="64"/>
      <c r="G130" s="64"/>
      <c r="H130" s="66"/>
      <c r="I130" s="65"/>
    </row>
    <row r="131">
      <c r="A131" s="64"/>
      <c r="B131" s="65"/>
      <c r="C131" s="65"/>
      <c r="D131" s="65"/>
      <c r="E131" s="65"/>
      <c r="F131" s="64"/>
      <c r="G131" s="64"/>
      <c r="H131" s="66"/>
      <c r="I131" s="65"/>
    </row>
    <row r="132">
      <c r="A132" s="64"/>
      <c r="B132" s="65"/>
      <c r="C132" s="65"/>
      <c r="D132" s="65"/>
      <c r="E132" s="65"/>
      <c r="F132" s="64"/>
      <c r="G132" s="64"/>
      <c r="H132" s="66"/>
      <c r="I132" s="65"/>
    </row>
    <row r="133">
      <c r="A133" s="64"/>
      <c r="B133" s="65"/>
      <c r="C133" s="65"/>
      <c r="D133" s="65"/>
      <c r="E133" s="65"/>
      <c r="F133" s="64"/>
      <c r="G133" s="64"/>
      <c r="H133" s="66"/>
      <c r="I133" s="65"/>
    </row>
    <row r="134">
      <c r="A134" s="64"/>
      <c r="B134" s="65"/>
      <c r="C134" s="65"/>
      <c r="D134" s="65"/>
      <c r="E134" s="65"/>
      <c r="F134" s="64"/>
      <c r="G134" s="64"/>
      <c r="H134" s="66"/>
      <c r="I134" s="65"/>
    </row>
    <row r="135">
      <c r="A135" s="64"/>
      <c r="B135" s="65"/>
      <c r="C135" s="65"/>
      <c r="D135" s="65"/>
      <c r="E135" s="65"/>
      <c r="F135" s="64"/>
      <c r="G135" s="64"/>
      <c r="H135" s="66"/>
      <c r="I135" s="65"/>
    </row>
    <row r="136">
      <c r="A136" s="64"/>
      <c r="B136" s="65"/>
      <c r="C136" s="65"/>
      <c r="D136" s="65"/>
      <c r="E136" s="65"/>
      <c r="F136" s="64"/>
      <c r="G136" s="64"/>
      <c r="H136" s="66"/>
      <c r="I136" s="65"/>
    </row>
    <row r="137">
      <c r="A137" s="64"/>
      <c r="B137" s="65"/>
      <c r="C137" s="65"/>
      <c r="D137" s="65"/>
      <c r="E137" s="65"/>
      <c r="F137" s="64"/>
      <c r="G137" s="64"/>
      <c r="H137" s="66"/>
      <c r="I137" s="65"/>
    </row>
    <row r="138">
      <c r="A138" s="64"/>
      <c r="B138" s="65"/>
      <c r="C138" s="65"/>
      <c r="D138" s="65"/>
      <c r="E138" s="65"/>
      <c r="F138" s="64"/>
      <c r="G138" s="64"/>
      <c r="H138" s="66"/>
      <c r="I138" s="65"/>
    </row>
    <row r="139">
      <c r="A139" s="64"/>
      <c r="B139" s="65"/>
      <c r="C139" s="65"/>
      <c r="D139" s="65"/>
      <c r="E139" s="65"/>
      <c r="F139" s="64"/>
      <c r="G139" s="64"/>
      <c r="H139" s="66"/>
      <c r="I139" s="65"/>
    </row>
    <row r="140">
      <c r="A140" s="64"/>
      <c r="B140" s="65"/>
      <c r="C140" s="65"/>
      <c r="D140" s="65"/>
      <c r="E140" s="65"/>
      <c r="F140" s="64"/>
      <c r="G140" s="64"/>
      <c r="H140" s="66"/>
      <c r="I140" s="65"/>
    </row>
    <row r="141">
      <c r="A141" s="64"/>
      <c r="B141" s="65"/>
      <c r="C141" s="65"/>
      <c r="D141" s="65"/>
      <c r="E141" s="65"/>
      <c r="F141" s="64"/>
      <c r="G141" s="64"/>
      <c r="H141" s="66"/>
      <c r="I141" s="65"/>
    </row>
    <row r="142">
      <c r="A142" s="64"/>
      <c r="B142" s="65"/>
      <c r="C142" s="65"/>
      <c r="D142" s="65"/>
      <c r="E142" s="65"/>
      <c r="F142" s="64"/>
      <c r="G142" s="64"/>
      <c r="H142" s="66"/>
      <c r="I142" s="65"/>
    </row>
    <row r="143">
      <c r="A143" s="64"/>
      <c r="B143" s="65"/>
      <c r="C143" s="65"/>
      <c r="D143" s="65"/>
      <c r="E143" s="67" t="s">
        <v>180</v>
      </c>
      <c r="F143" s="68">
        <v>80.0</v>
      </c>
      <c r="G143" s="64"/>
      <c r="H143" s="66"/>
      <c r="I143" s="65"/>
    </row>
    <row r="144">
      <c r="A144" s="64"/>
      <c r="B144" s="65"/>
      <c r="C144" s="65"/>
      <c r="D144" s="65"/>
      <c r="E144" s="67" t="s">
        <v>181</v>
      </c>
      <c r="F144" s="68">
        <v>5.0</v>
      </c>
      <c r="G144" s="68" t="s">
        <v>182</v>
      </c>
      <c r="H144" s="66"/>
      <c r="I144" s="65"/>
    </row>
    <row r="145">
      <c r="A145" s="64"/>
      <c r="B145" s="65"/>
      <c r="C145" s="65"/>
      <c r="D145" s="65"/>
      <c r="E145" s="67" t="s">
        <v>183</v>
      </c>
      <c r="F145" s="68">
        <v>16.0</v>
      </c>
      <c r="G145" s="68" t="s">
        <v>182</v>
      </c>
      <c r="H145" s="66"/>
      <c r="I145" s="65"/>
    </row>
    <row r="146">
      <c r="A146" s="64"/>
      <c r="B146" s="65"/>
      <c r="C146" s="65"/>
      <c r="D146" s="65"/>
      <c r="E146" s="67" t="s">
        <v>184</v>
      </c>
      <c r="F146" s="64">
        <f>F143-sum(F144:F145)</f>
        <v>59</v>
      </c>
      <c r="G146" s="64"/>
      <c r="H146" s="66"/>
      <c r="I146" s="65"/>
    </row>
    <row r="147">
      <c r="A147" s="64"/>
      <c r="B147" s="65"/>
      <c r="C147" s="65"/>
      <c r="D147" s="65"/>
      <c r="E147" s="67" t="s">
        <v>185</v>
      </c>
      <c r="F147" s="68">
        <v>15.0</v>
      </c>
      <c r="G147" s="64"/>
      <c r="H147" s="66"/>
      <c r="I147" s="65"/>
    </row>
    <row r="148">
      <c r="A148" s="64"/>
      <c r="B148" s="65"/>
      <c r="C148" s="65"/>
      <c r="D148" s="65"/>
      <c r="E148" s="67" t="s">
        <v>186</v>
      </c>
      <c r="F148" s="69">
        <f>(F147+F146)/F146</f>
        <v>1.254237288</v>
      </c>
      <c r="G148" s="64"/>
      <c r="H148" s="66"/>
      <c r="I148" s="65"/>
    </row>
    <row r="149">
      <c r="A149" s="64"/>
      <c r="B149" s="65"/>
      <c r="C149" s="65"/>
      <c r="D149" s="65"/>
      <c r="E149" s="65"/>
      <c r="F149" s="64"/>
      <c r="G149" s="64"/>
      <c r="H149" s="66"/>
      <c r="I149" s="65"/>
    </row>
    <row r="150">
      <c r="A150" s="64"/>
      <c r="B150" s="65"/>
      <c r="C150" s="65"/>
      <c r="D150" s="65"/>
      <c r="E150" s="65"/>
      <c r="F150" s="64"/>
      <c r="G150" s="64"/>
      <c r="H150" s="66"/>
      <c r="I150" s="65"/>
    </row>
    <row r="151">
      <c r="A151" s="64"/>
      <c r="B151" s="65"/>
      <c r="C151" s="65"/>
      <c r="D151" s="65"/>
      <c r="E151" s="65"/>
      <c r="F151" s="64"/>
      <c r="G151" s="64"/>
      <c r="H151" s="66"/>
      <c r="I151" s="65"/>
    </row>
    <row r="152">
      <c r="A152" s="64"/>
      <c r="B152" s="65"/>
      <c r="C152" s="65"/>
      <c r="D152" s="65"/>
      <c r="E152" s="65"/>
      <c r="F152" s="64"/>
      <c r="G152" s="64"/>
      <c r="H152" s="66"/>
      <c r="I152" s="65"/>
    </row>
    <row r="153">
      <c r="A153" s="64"/>
      <c r="B153" s="65"/>
      <c r="C153" s="65"/>
      <c r="D153" s="65"/>
      <c r="E153" s="65"/>
      <c r="F153" s="64"/>
      <c r="G153" s="64"/>
      <c r="H153" s="66"/>
      <c r="I153" s="65"/>
    </row>
    <row r="154">
      <c r="A154" s="64"/>
      <c r="B154" s="65"/>
      <c r="C154" s="65"/>
      <c r="D154" s="65"/>
      <c r="E154" s="65"/>
      <c r="F154" s="64"/>
      <c r="G154" s="64"/>
      <c r="H154" s="66"/>
      <c r="I154" s="65"/>
    </row>
    <row r="155">
      <c r="A155" s="64"/>
      <c r="B155" s="65"/>
      <c r="C155" s="65"/>
      <c r="D155" s="65"/>
      <c r="E155" s="65"/>
      <c r="F155" s="64"/>
      <c r="G155" s="64"/>
      <c r="H155" s="66"/>
      <c r="I155" s="65"/>
    </row>
    <row r="156">
      <c r="A156" s="64"/>
      <c r="B156" s="65"/>
      <c r="C156" s="65"/>
      <c r="D156" s="65"/>
      <c r="E156" s="65"/>
      <c r="F156" s="64"/>
      <c r="G156" s="64"/>
      <c r="H156" s="66"/>
      <c r="I156" s="65"/>
    </row>
    <row r="157">
      <c r="A157" s="64"/>
      <c r="B157" s="65"/>
      <c r="C157" s="65"/>
      <c r="D157" s="65"/>
      <c r="E157" s="65"/>
      <c r="F157" s="64"/>
      <c r="G157" s="64"/>
      <c r="H157" s="66"/>
      <c r="I157" s="65"/>
    </row>
    <row r="158">
      <c r="A158" s="64"/>
      <c r="B158" s="65"/>
      <c r="C158" s="65"/>
      <c r="D158" s="65"/>
      <c r="E158" s="65"/>
      <c r="F158" s="64"/>
      <c r="G158" s="64"/>
      <c r="H158" s="66"/>
      <c r="I158" s="65"/>
    </row>
    <row r="159">
      <c r="A159" s="64"/>
      <c r="B159" s="65"/>
      <c r="C159" s="65"/>
      <c r="D159" s="65"/>
      <c r="E159" s="65"/>
      <c r="F159" s="64"/>
      <c r="G159" s="64"/>
      <c r="H159" s="66"/>
      <c r="I159" s="65"/>
    </row>
    <row r="160">
      <c r="A160" s="64"/>
      <c r="B160" s="65"/>
      <c r="C160" s="65"/>
      <c r="D160" s="65"/>
      <c r="E160" s="65"/>
      <c r="F160" s="64"/>
      <c r="G160" s="64"/>
      <c r="H160" s="66"/>
      <c r="I160" s="65"/>
    </row>
    <row r="161">
      <c r="A161" s="64"/>
      <c r="B161" s="65"/>
      <c r="C161" s="65"/>
      <c r="D161" s="65"/>
      <c r="E161" s="65"/>
      <c r="F161" s="64"/>
      <c r="G161" s="64"/>
      <c r="H161" s="66"/>
      <c r="I161" s="65"/>
    </row>
    <row r="162">
      <c r="A162" s="64"/>
      <c r="B162" s="65"/>
      <c r="C162" s="65"/>
      <c r="D162" s="65"/>
      <c r="E162" s="65"/>
      <c r="F162" s="64"/>
      <c r="G162" s="64"/>
      <c r="H162" s="66"/>
      <c r="I162" s="65"/>
    </row>
    <row r="163">
      <c r="A163" s="64"/>
      <c r="B163" s="65"/>
      <c r="C163" s="65"/>
      <c r="D163" s="65"/>
      <c r="E163" s="65"/>
      <c r="F163" s="64"/>
      <c r="G163" s="64"/>
      <c r="H163" s="66"/>
      <c r="I163" s="65"/>
    </row>
    <row r="164">
      <c r="A164" s="64"/>
      <c r="B164" s="65"/>
      <c r="C164" s="65"/>
      <c r="D164" s="65"/>
      <c r="E164" s="65"/>
      <c r="F164" s="64"/>
      <c r="G164" s="64"/>
      <c r="H164" s="66"/>
      <c r="I164" s="65"/>
    </row>
    <row r="165">
      <c r="A165" s="64"/>
      <c r="B165" s="65"/>
      <c r="C165" s="65"/>
      <c r="D165" s="65"/>
      <c r="E165" s="65"/>
      <c r="F165" s="64"/>
      <c r="G165" s="64"/>
      <c r="H165" s="66"/>
      <c r="I165" s="65"/>
    </row>
    <row r="166">
      <c r="A166" s="64"/>
      <c r="B166" s="65"/>
      <c r="C166" s="65"/>
      <c r="D166" s="65"/>
      <c r="E166" s="65"/>
      <c r="F166" s="64"/>
      <c r="G166" s="64"/>
      <c r="H166" s="66"/>
      <c r="I166" s="65"/>
    </row>
    <row r="167">
      <c r="A167" s="64"/>
      <c r="B167" s="65"/>
      <c r="C167" s="65"/>
      <c r="D167" s="65"/>
      <c r="E167" s="65"/>
      <c r="F167" s="64"/>
      <c r="G167" s="64"/>
      <c r="H167" s="66"/>
      <c r="I167" s="65"/>
    </row>
    <row r="168">
      <c r="A168" s="64"/>
      <c r="B168" s="65"/>
      <c r="C168" s="65"/>
      <c r="D168" s="65"/>
      <c r="E168" s="65"/>
      <c r="F168" s="64"/>
      <c r="G168" s="64"/>
      <c r="H168" s="66"/>
      <c r="I168" s="65"/>
    </row>
    <row r="169">
      <c r="A169" s="64"/>
      <c r="B169" s="65"/>
      <c r="C169" s="65"/>
      <c r="D169" s="65"/>
      <c r="E169" s="65"/>
      <c r="F169" s="64"/>
      <c r="G169" s="64"/>
      <c r="H169" s="66"/>
      <c r="I169" s="65"/>
    </row>
    <row r="170">
      <c r="A170" s="64"/>
      <c r="B170" s="65"/>
      <c r="C170" s="65"/>
      <c r="D170" s="65"/>
      <c r="E170" s="65"/>
      <c r="F170" s="64"/>
      <c r="G170" s="64"/>
      <c r="H170" s="66"/>
      <c r="I170" s="65"/>
    </row>
    <row r="171">
      <c r="A171" s="64"/>
      <c r="B171" s="65"/>
      <c r="C171" s="65"/>
      <c r="D171" s="65"/>
      <c r="E171" s="65"/>
      <c r="F171" s="64"/>
      <c r="G171" s="64"/>
      <c r="H171" s="66"/>
      <c r="I171" s="65"/>
    </row>
    <row r="172">
      <c r="A172" s="64"/>
      <c r="B172" s="65"/>
      <c r="C172" s="65"/>
      <c r="D172" s="65"/>
      <c r="E172" s="65"/>
      <c r="F172" s="64"/>
      <c r="G172" s="64"/>
      <c r="H172" s="66"/>
      <c r="I172" s="65"/>
    </row>
    <row r="173">
      <c r="A173" s="64"/>
      <c r="B173" s="65"/>
      <c r="C173" s="65"/>
      <c r="D173" s="65"/>
      <c r="E173" s="65"/>
      <c r="F173" s="64"/>
      <c r="G173" s="64"/>
      <c r="H173" s="66"/>
      <c r="I173" s="65"/>
    </row>
    <row r="174">
      <c r="A174" s="64"/>
      <c r="B174" s="65"/>
      <c r="C174" s="65"/>
      <c r="D174" s="65"/>
      <c r="E174" s="65"/>
      <c r="F174" s="64"/>
      <c r="G174" s="64"/>
      <c r="H174" s="66"/>
      <c r="I174" s="65"/>
    </row>
    <row r="175">
      <c r="A175" s="64"/>
      <c r="B175" s="65"/>
      <c r="C175" s="65"/>
      <c r="D175" s="65"/>
      <c r="E175" s="65"/>
      <c r="F175" s="64"/>
      <c r="G175" s="64"/>
      <c r="H175" s="66"/>
      <c r="I175" s="65"/>
    </row>
    <row r="176">
      <c r="A176" s="64"/>
      <c r="B176" s="65"/>
      <c r="C176" s="65"/>
      <c r="D176" s="65"/>
      <c r="E176" s="65"/>
      <c r="F176" s="64"/>
      <c r="G176" s="64"/>
      <c r="H176" s="66"/>
      <c r="I176" s="65"/>
    </row>
    <row r="177">
      <c r="A177" s="64"/>
      <c r="B177" s="65"/>
      <c r="C177" s="65"/>
      <c r="D177" s="65"/>
      <c r="E177" s="65"/>
      <c r="F177" s="64"/>
      <c r="G177" s="64"/>
      <c r="H177" s="66"/>
      <c r="I177" s="65"/>
    </row>
    <row r="178">
      <c r="A178" s="64"/>
      <c r="B178" s="65"/>
      <c r="C178" s="65"/>
      <c r="D178" s="65"/>
      <c r="E178" s="65"/>
      <c r="F178" s="64"/>
      <c r="G178" s="64"/>
      <c r="H178" s="66"/>
      <c r="I178" s="65"/>
    </row>
    <row r="179">
      <c r="A179" s="64"/>
      <c r="B179" s="65"/>
      <c r="C179" s="65"/>
      <c r="D179" s="65"/>
      <c r="E179" s="65"/>
      <c r="F179" s="64"/>
      <c r="G179" s="64"/>
      <c r="H179" s="66"/>
      <c r="I179" s="65"/>
    </row>
    <row r="180">
      <c r="A180" s="64"/>
      <c r="B180" s="65"/>
      <c r="C180" s="65"/>
      <c r="D180" s="65"/>
      <c r="E180" s="65"/>
      <c r="F180" s="64"/>
      <c r="G180" s="64"/>
      <c r="H180" s="66"/>
      <c r="I180" s="65"/>
    </row>
    <row r="181">
      <c r="A181" s="64"/>
      <c r="B181" s="65"/>
      <c r="C181" s="65"/>
      <c r="D181" s="65"/>
      <c r="E181" s="65"/>
      <c r="F181" s="64"/>
      <c r="G181" s="64"/>
      <c r="H181" s="66"/>
      <c r="I181" s="65"/>
    </row>
    <row r="182">
      <c r="A182" s="64"/>
      <c r="B182" s="65"/>
      <c r="C182" s="65"/>
      <c r="D182" s="65"/>
      <c r="E182" s="65"/>
      <c r="F182" s="64"/>
      <c r="G182" s="64"/>
      <c r="H182" s="66"/>
      <c r="I182" s="65"/>
    </row>
    <row r="183">
      <c r="A183" s="64"/>
      <c r="B183" s="65"/>
      <c r="C183" s="65"/>
      <c r="D183" s="65"/>
      <c r="E183" s="65"/>
      <c r="F183" s="64"/>
      <c r="G183" s="64"/>
      <c r="H183" s="66"/>
      <c r="I183" s="65"/>
    </row>
    <row r="184">
      <c r="A184" s="64"/>
      <c r="B184" s="65"/>
      <c r="C184" s="65"/>
      <c r="D184" s="65"/>
      <c r="E184" s="65"/>
      <c r="F184" s="64"/>
      <c r="G184" s="64"/>
      <c r="H184" s="66"/>
      <c r="I184" s="65"/>
    </row>
    <row r="185">
      <c r="A185" s="64"/>
      <c r="B185" s="65"/>
      <c r="C185" s="65"/>
      <c r="D185" s="65"/>
      <c r="E185" s="65"/>
      <c r="F185" s="64"/>
      <c r="G185" s="64"/>
      <c r="H185" s="66"/>
      <c r="I185" s="65"/>
    </row>
    <row r="186">
      <c r="A186" s="64"/>
      <c r="B186" s="65"/>
      <c r="C186" s="65"/>
      <c r="D186" s="65"/>
      <c r="E186" s="65"/>
      <c r="F186" s="64"/>
      <c r="G186" s="64"/>
      <c r="H186" s="66"/>
      <c r="I186" s="65"/>
    </row>
    <row r="187">
      <c r="A187" s="64"/>
      <c r="B187" s="65"/>
      <c r="C187" s="65"/>
      <c r="D187" s="65"/>
      <c r="E187" s="65"/>
      <c r="F187" s="64"/>
      <c r="G187" s="64"/>
      <c r="H187" s="66"/>
      <c r="I187" s="65"/>
    </row>
    <row r="188">
      <c r="A188" s="64"/>
      <c r="B188" s="65"/>
      <c r="C188" s="65"/>
      <c r="D188" s="65"/>
      <c r="E188" s="65"/>
      <c r="F188" s="64"/>
      <c r="G188" s="64"/>
      <c r="H188" s="66"/>
      <c r="I188" s="65"/>
    </row>
    <row r="189">
      <c r="A189" s="64"/>
      <c r="B189" s="65"/>
      <c r="C189" s="65"/>
      <c r="D189" s="65"/>
      <c r="E189" s="65"/>
      <c r="F189" s="64"/>
      <c r="G189" s="64"/>
      <c r="H189" s="66"/>
      <c r="I189" s="65"/>
    </row>
    <row r="190">
      <c r="A190" s="64"/>
      <c r="B190" s="65"/>
      <c r="C190" s="65"/>
      <c r="D190" s="65"/>
      <c r="E190" s="65"/>
      <c r="F190" s="64"/>
      <c r="G190" s="64"/>
      <c r="H190" s="66"/>
      <c r="I190" s="65"/>
    </row>
    <row r="191">
      <c r="A191" s="64"/>
      <c r="B191" s="65"/>
      <c r="C191" s="65"/>
      <c r="D191" s="65"/>
      <c r="E191" s="65"/>
      <c r="F191" s="64"/>
      <c r="G191" s="64"/>
      <c r="H191" s="66"/>
      <c r="I191" s="65"/>
    </row>
    <row r="192">
      <c r="A192" s="64"/>
      <c r="B192" s="65"/>
      <c r="C192" s="65"/>
      <c r="D192" s="65"/>
      <c r="E192" s="65"/>
      <c r="F192" s="64"/>
      <c r="G192" s="64"/>
      <c r="H192" s="66"/>
      <c r="I192" s="65"/>
    </row>
    <row r="193">
      <c r="A193" s="64"/>
      <c r="B193" s="65"/>
      <c r="C193" s="65"/>
      <c r="D193" s="65"/>
      <c r="E193" s="65"/>
      <c r="F193" s="64"/>
      <c r="G193" s="64"/>
      <c r="H193" s="66"/>
      <c r="I193" s="65"/>
    </row>
    <row r="194">
      <c r="A194" s="64"/>
      <c r="B194" s="65"/>
      <c r="C194" s="65"/>
      <c r="D194" s="65"/>
      <c r="E194" s="65"/>
      <c r="F194" s="64"/>
      <c r="G194" s="64"/>
      <c r="H194" s="66"/>
      <c r="I194" s="65"/>
    </row>
    <row r="195">
      <c r="A195" s="64"/>
      <c r="B195" s="65"/>
      <c r="C195" s="65"/>
      <c r="D195" s="65"/>
      <c r="E195" s="65"/>
      <c r="F195" s="64"/>
      <c r="G195" s="64"/>
      <c r="H195" s="66"/>
      <c r="I195" s="65"/>
    </row>
    <row r="196">
      <c r="A196" s="64"/>
      <c r="B196" s="65"/>
      <c r="C196" s="65"/>
      <c r="D196" s="65"/>
      <c r="E196" s="65"/>
      <c r="F196" s="64"/>
      <c r="G196" s="64"/>
      <c r="H196" s="66"/>
      <c r="I196" s="65"/>
    </row>
    <row r="197">
      <c r="A197" s="64"/>
      <c r="B197" s="65"/>
      <c r="C197" s="65"/>
      <c r="D197" s="65"/>
      <c r="E197" s="65"/>
      <c r="F197" s="64"/>
      <c r="G197" s="64"/>
      <c r="H197" s="66"/>
      <c r="I197" s="65"/>
    </row>
    <row r="198">
      <c r="A198" s="64"/>
      <c r="B198" s="65"/>
      <c r="C198" s="65"/>
      <c r="D198" s="65"/>
      <c r="E198" s="65"/>
      <c r="F198" s="64"/>
      <c r="G198" s="64"/>
      <c r="H198" s="66"/>
      <c r="I198" s="65"/>
    </row>
    <row r="199">
      <c r="A199" s="64"/>
      <c r="B199" s="65"/>
      <c r="C199" s="65"/>
      <c r="D199" s="65"/>
      <c r="E199" s="65"/>
      <c r="F199" s="64"/>
      <c r="G199" s="64"/>
      <c r="H199" s="66"/>
      <c r="I199" s="65"/>
    </row>
    <row r="200">
      <c r="A200" s="64"/>
      <c r="B200" s="65"/>
      <c r="C200" s="65"/>
      <c r="D200" s="65"/>
      <c r="E200" s="65"/>
      <c r="F200" s="64"/>
      <c r="G200" s="64"/>
      <c r="H200" s="66"/>
      <c r="I200" s="65"/>
    </row>
    <row r="201">
      <c r="A201" s="64"/>
      <c r="B201" s="65"/>
      <c r="C201" s="65"/>
      <c r="D201" s="65"/>
      <c r="E201" s="65"/>
      <c r="F201" s="64"/>
      <c r="G201" s="64"/>
      <c r="H201" s="66"/>
      <c r="I201" s="65"/>
    </row>
    <row r="202">
      <c r="A202" s="64"/>
      <c r="B202" s="65"/>
      <c r="C202" s="65"/>
      <c r="D202" s="65"/>
      <c r="E202" s="65"/>
      <c r="F202" s="64"/>
      <c r="G202" s="64"/>
      <c r="H202" s="66"/>
      <c r="I202" s="65"/>
    </row>
    <row r="203">
      <c r="A203" s="64"/>
      <c r="B203" s="65"/>
      <c r="C203" s="65"/>
      <c r="D203" s="65"/>
      <c r="E203" s="65"/>
      <c r="F203" s="64"/>
      <c r="G203" s="64"/>
      <c r="H203" s="66"/>
      <c r="I203" s="65"/>
    </row>
    <row r="204">
      <c r="A204" s="64"/>
      <c r="B204" s="65"/>
      <c r="C204" s="65"/>
      <c r="D204" s="65"/>
      <c r="E204" s="65"/>
      <c r="F204" s="64"/>
      <c r="G204" s="64"/>
      <c r="H204" s="66"/>
      <c r="I204" s="65"/>
    </row>
    <row r="205">
      <c r="A205" s="64"/>
      <c r="B205" s="65"/>
      <c r="C205" s="65"/>
      <c r="D205" s="65"/>
      <c r="E205" s="65"/>
      <c r="F205" s="64"/>
      <c r="G205" s="64"/>
      <c r="H205" s="66"/>
      <c r="I205" s="65"/>
    </row>
    <row r="206">
      <c r="A206" s="64"/>
      <c r="B206" s="65"/>
      <c r="C206" s="65"/>
      <c r="D206" s="65"/>
      <c r="E206" s="65"/>
      <c r="F206" s="64"/>
      <c r="G206" s="64"/>
      <c r="H206" s="66"/>
      <c r="I206" s="65"/>
    </row>
    <row r="207">
      <c r="A207" s="64"/>
      <c r="B207" s="65"/>
      <c r="C207" s="65"/>
      <c r="D207" s="65"/>
      <c r="E207" s="65"/>
      <c r="F207" s="64"/>
      <c r="G207" s="64"/>
      <c r="H207" s="66"/>
      <c r="I207" s="65"/>
    </row>
    <row r="208">
      <c r="A208" s="64"/>
      <c r="B208" s="65"/>
      <c r="C208" s="65"/>
      <c r="D208" s="65"/>
      <c r="E208" s="65"/>
      <c r="F208" s="64"/>
      <c r="G208" s="64"/>
      <c r="H208" s="66"/>
      <c r="I208" s="65"/>
    </row>
    <row r="209">
      <c r="A209" s="64"/>
      <c r="B209" s="65"/>
      <c r="C209" s="65"/>
      <c r="D209" s="65"/>
      <c r="E209" s="65"/>
      <c r="F209" s="64"/>
      <c r="G209" s="64"/>
      <c r="H209" s="66"/>
      <c r="I209" s="65"/>
    </row>
    <row r="210">
      <c r="A210" s="64"/>
      <c r="B210" s="65"/>
      <c r="C210" s="65"/>
      <c r="D210" s="65"/>
      <c r="E210" s="65"/>
      <c r="F210" s="64"/>
      <c r="G210" s="64"/>
      <c r="H210" s="66"/>
      <c r="I210" s="65"/>
    </row>
    <row r="211">
      <c r="A211" s="64"/>
      <c r="B211" s="65"/>
      <c r="C211" s="65"/>
      <c r="D211" s="65"/>
      <c r="E211" s="65"/>
      <c r="F211" s="64"/>
      <c r="G211" s="64"/>
      <c r="H211" s="66"/>
      <c r="I211" s="65"/>
    </row>
    <row r="212">
      <c r="A212" s="64"/>
      <c r="B212" s="65"/>
      <c r="C212" s="65"/>
      <c r="D212" s="65"/>
      <c r="E212" s="65"/>
      <c r="F212" s="64"/>
      <c r="G212" s="64"/>
      <c r="H212" s="66"/>
      <c r="I212" s="65"/>
    </row>
    <row r="213">
      <c r="A213" s="64"/>
      <c r="B213" s="65"/>
      <c r="C213" s="65"/>
      <c r="D213" s="65"/>
      <c r="E213" s="65"/>
      <c r="F213" s="64"/>
      <c r="G213" s="64"/>
      <c r="H213" s="66"/>
      <c r="I213" s="65"/>
    </row>
    <row r="214">
      <c r="A214" s="64"/>
      <c r="B214" s="65"/>
      <c r="C214" s="65"/>
      <c r="D214" s="65"/>
      <c r="E214" s="65"/>
      <c r="F214" s="64"/>
      <c r="G214" s="64"/>
      <c r="H214" s="66"/>
      <c r="I214" s="65"/>
    </row>
    <row r="215">
      <c r="A215" s="64"/>
      <c r="B215" s="65"/>
      <c r="C215" s="65"/>
      <c r="D215" s="65"/>
      <c r="E215" s="65"/>
      <c r="F215" s="64"/>
      <c r="G215" s="64"/>
      <c r="H215" s="66"/>
      <c r="I215" s="65"/>
    </row>
    <row r="216">
      <c r="A216" s="64"/>
      <c r="B216" s="65"/>
      <c r="C216" s="65"/>
      <c r="D216" s="65"/>
      <c r="E216" s="65"/>
      <c r="F216" s="64"/>
      <c r="G216" s="64"/>
      <c r="H216" s="66"/>
      <c r="I216" s="65"/>
    </row>
    <row r="217">
      <c r="A217" s="64"/>
      <c r="B217" s="65"/>
      <c r="C217" s="65"/>
      <c r="D217" s="65"/>
      <c r="E217" s="65"/>
      <c r="F217" s="64"/>
      <c r="G217" s="64"/>
      <c r="H217" s="66"/>
      <c r="I217" s="65"/>
    </row>
    <row r="218">
      <c r="A218" s="64"/>
      <c r="B218" s="65"/>
      <c r="C218" s="65"/>
      <c r="D218" s="65"/>
      <c r="E218" s="65"/>
      <c r="F218" s="64"/>
      <c r="G218" s="64"/>
      <c r="H218" s="66"/>
      <c r="I218" s="65"/>
    </row>
    <row r="219">
      <c r="A219" s="64"/>
      <c r="B219" s="65"/>
      <c r="C219" s="65"/>
      <c r="D219" s="65"/>
      <c r="E219" s="65"/>
      <c r="F219" s="64"/>
      <c r="G219" s="64"/>
      <c r="H219" s="66"/>
      <c r="I219" s="65"/>
    </row>
    <row r="220">
      <c r="A220" s="64"/>
      <c r="B220" s="65"/>
      <c r="C220" s="65"/>
      <c r="D220" s="65"/>
      <c r="E220" s="65"/>
      <c r="F220" s="64"/>
      <c r="G220" s="64"/>
      <c r="H220" s="66"/>
      <c r="I220" s="65"/>
    </row>
    <row r="221">
      <c r="A221" s="64"/>
      <c r="B221" s="65"/>
      <c r="C221" s="65"/>
      <c r="D221" s="65"/>
      <c r="E221" s="65"/>
      <c r="F221" s="64"/>
      <c r="G221" s="64"/>
      <c r="H221" s="66"/>
      <c r="I221" s="65"/>
    </row>
    <row r="222">
      <c r="A222" s="64"/>
      <c r="B222" s="65"/>
      <c r="C222" s="65"/>
      <c r="D222" s="65"/>
      <c r="E222" s="65"/>
      <c r="F222" s="64"/>
      <c r="G222" s="64"/>
      <c r="H222" s="66"/>
      <c r="I222" s="65"/>
    </row>
    <row r="223">
      <c r="A223" s="64"/>
      <c r="B223" s="65"/>
      <c r="C223" s="65"/>
      <c r="D223" s="65"/>
      <c r="E223" s="65"/>
      <c r="F223" s="64"/>
      <c r="G223" s="64"/>
      <c r="H223" s="66"/>
      <c r="I223" s="65"/>
    </row>
    <row r="224">
      <c r="A224" s="64"/>
      <c r="B224" s="65"/>
      <c r="C224" s="65"/>
      <c r="D224" s="65"/>
      <c r="E224" s="65"/>
      <c r="F224" s="64"/>
      <c r="G224" s="64"/>
      <c r="H224" s="66"/>
      <c r="I224" s="65"/>
    </row>
    <row r="225">
      <c r="A225" s="64"/>
      <c r="B225" s="65"/>
      <c r="C225" s="65"/>
      <c r="D225" s="65"/>
      <c r="E225" s="65"/>
      <c r="F225" s="64"/>
      <c r="G225" s="64"/>
      <c r="H225" s="66"/>
      <c r="I225" s="65"/>
    </row>
    <row r="226">
      <c r="A226" s="64"/>
      <c r="B226" s="65"/>
      <c r="C226" s="65"/>
      <c r="D226" s="65"/>
      <c r="E226" s="65"/>
      <c r="F226" s="64"/>
      <c r="G226" s="64"/>
      <c r="H226" s="66"/>
      <c r="I226" s="65"/>
    </row>
    <row r="227">
      <c r="A227" s="64"/>
      <c r="B227" s="65"/>
      <c r="C227" s="65"/>
      <c r="D227" s="65"/>
      <c r="E227" s="65"/>
      <c r="F227" s="64"/>
      <c r="G227" s="64"/>
      <c r="H227" s="66"/>
      <c r="I227" s="65"/>
    </row>
    <row r="228">
      <c r="A228" s="64"/>
      <c r="B228" s="65"/>
      <c r="C228" s="65"/>
      <c r="D228" s="65"/>
      <c r="E228" s="65"/>
      <c r="F228" s="64"/>
      <c r="G228" s="64"/>
      <c r="H228" s="66"/>
      <c r="I228" s="65"/>
    </row>
    <row r="229">
      <c r="A229" s="64"/>
      <c r="B229" s="65"/>
      <c r="C229" s="65"/>
      <c r="D229" s="65"/>
      <c r="E229" s="65"/>
      <c r="F229" s="64"/>
      <c r="G229" s="64"/>
      <c r="H229" s="66"/>
      <c r="I229" s="65"/>
    </row>
    <row r="230">
      <c r="A230" s="64"/>
      <c r="B230" s="65"/>
      <c r="C230" s="65"/>
      <c r="D230" s="65"/>
      <c r="E230" s="65"/>
      <c r="F230" s="64"/>
      <c r="G230" s="64"/>
      <c r="H230" s="66"/>
      <c r="I230" s="65"/>
    </row>
    <row r="231">
      <c r="A231" s="64"/>
      <c r="B231" s="65"/>
      <c r="C231" s="65"/>
      <c r="D231" s="65"/>
      <c r="E231" s="65"/>
      <c r="F231" s="64"/>
      <c r="G231" s="64"/>
      <c r="H231" s="66"/>
      <c r="I231" s="65"/>
    </row>
    <row r="232">
      <c r="A232" s="64"/>
      <c r="B232" s="65"/>
      <c r="C232" s="65"/>
      <c r="D232" s="65"/>
      <c r="E232" s="65"/>
      <c r="F232" s="64"/>
      <c r="G232" s="64"/>
      <c r="H232" s="66"/>
      <c r="I232" s="65"/>
    </row>
    <row r="233">
      <c r="A233" s="64"/>
      <c r="B233" s="65"/>
      <c r="C233" s="65"/>
      <c r="D233" s="65"/>
      <c r="E233" s="65"/>
      <c r="F233" s="64"/>
      <c r="G233" s="64"/>
      <c r="H233" s="66"/>
      <c r="I233" s="65"/>
    </row>
    <row r="234">
      <c r="A234" s="64"/>
      <c r="B234" s="65"/>
      <c r="C234" s="65"/>
      <c r="D234" s="65"/>
      <c r="E234" s="65"/>
      <c r="F234" s="64"/>
      <c r="G234" s="64"/>
      <c r="H234" s="66"/>
      <c r="I234" s="65"/>
    </row>
    <row r="235">
      <c r="A235" s="64"/>
      <c r="B235" s="65"/>
      <c r="C235" s="65"/>
      <c r="D235" s="65"/>
      <c r="E235" s="65"/>
      <c r="F235" s="64"/>
      <c r="G235" s="64"/>
      <c r="H235" s="66"/>
      <c r="I235" s="65"/>
    </row>
    <row r="236">
      <c r="A236" s="64"/>
      <c r="B236" s="65"/>
      <c r="C236" s="65"/>
      <c r="D236" s="65"/>
      <c r="E236" s="65"/>
      <c r="F236" s="64"/>
      <c r="G236" s="64"/>
      <c r="H236" s="66"/>
      <c r="I236" s="65"/>
    </row>
    <row r="237">
      <c r="A237" s="64"/>
      <c r="B237" s="65"/>
      <c r="C237" s="65"/>
      <c r="D237" s="65"/>
      <c r="E237" s="65"/>
      <c r="F237" s="64"/>
      <c r="G237" s="64"/>
      <c r="H237" s="66"/>
      <c r="I237" s="65"/>
    </row>
    <row r="238">
      <c r="A238" s="64"/>
      <c r="B238" s="65"/>
      <c r="C238" s="65"/>
      <c r="D238" s="65"/>
      <c r="E238" s="65"/>
      <c r="F238" s="64"/>
      <c r="G238" s="64"/>
      <c r="H238" s="66"/>
      <c r="I238" s="65"/>
    </row>
    <row r="239">
      <c r="A239" s="64"/>
      <c r="B239" s="65"/>
      <c r="C239" s="65"/>
      <c r="D239" s="65"/>
      <c r="E239" s="65"/>
      <c r="F239" s="64"/>
      <c r="G239" s="64"/>
      <c r="H239" s="66"/>
      <c r="I239" s="65"/>
    </row>
    <row r="240">
      <c r="A240" s="64"/>
      <c r="B240" s="65"/>
      <c r="C240" s="65"/>
      <c r="D240" s="65"/>
      <c r="E240" s="65"/>
      <c r="F240" s="64"/>
      <c r="G240" s="64"/>
      <c r="H240" s="66"/>
      <c r="I240" s="65"/>
    </row>
    <row r="241">
      <c r="A241" s="64"/>
      <c r="B241" s="65"/>
      <c r="C241" s="65"/>
      <c r="D241" s="65"/>
      <c r="E241" s="65"/>
      <c r="F241" s="64"/>
      <c r="G241" s="64"/>
      <c r="H241" s="66"/>
      <c r="I241" s="65"/>
    </row>
    <row r="242">
      <c r="A242" s="64"/>
      <c r="B242" s="65"/>
      <c r="C242" s="65"/>
      <c r="D242" s="65"/>
      <c r="E242" s="65"/>
      <c r="F242" s="64"/>
      <c r="G242" s="64"/>
      <c r="H242" s="66"/>
      <c r="I242" s="65"/>
    </row>
    <row r="243">
      <c r="A243" s="64"/>
      <c r="B243" s="65"/>
      <c r="C243" s="65"/>
      <c r="D243" s="65"/>
      <c r="E243" s="65"/>
      <c r="F243" s="64"/>
      <c r="G243" s="64"/>
      <c r="H243" s="66"/>
      <c r="I243" s="65"/>
    </row>
    <row r="244">
      <c r="A244" s="64"/>
      <c r="B244" s="65"/>
      <c r="C244" s="65"/>
      <c r="D244" s="65"/>
      <c r="E244" s="65"/>
      <c r="F244" s="64"/>
      <c r="G244" s="64"/>
      <c r="H244" s="66"/>
      <c r="I244" s="65"/>
    </row>
    <row r="245">
      <c r="A245" s="64"/>
      <c r="B245" s="65"/>
      <c r="C245" s="65"/>
      <c r="D245" s="65"/>
      <c r="E245" s="65"/>
      <c r="F245" s="64"/>
      <c r="G245" s="64"/>
      <c r="H245" s="66"/>
      <c r="I245" s="65"/>
    </row>
    <row r="246">
      <c r="A246" s="64"/>
      <c r="B246" s="65"/>
      <c r="C246" s="65"/>
      <c r="D246" s="65"/>
      <c r="E246" s="65"/>
      <c r="F246" s="64"/>
      <c r="G246" s="64"/>
      <c r="H246" s="66"/>
      <c r="I246" s="65"/>
    </row>
    <row r="247">
      <c r="A247" s="64"/>
      <c r="B247" s="65"/>
      <c r="C247" s="65"/>
      <c r="D247" s="65"/>
      <c r="E247" s="65"/>
      <c r="F247" s="64"/>
      <c r="G247" s="64"/>
      <c r="H247" s="66"/>
      <c r="I247" s="65"/>
    </row>
    <row r="248">
      <c r="A248" s="64"/>
      <c r="B248" s="65"/>
      <c r="C248" s="65"/>
      <c r="D248" s="65"/>
      <c r="E248" s="65"/>
      <c r="F248" s="64"/>
      <c r="G248" s="64"/>
      <c r="H248" s="66"/>
      <c r="I248" s="65"/>
    </row>
    <row r="249">
      <c r="A249" s="64"/>
      <c r="B249" s="65"/>
      <c r="C249" s="65"/>
      <c r="D249" s="65"/>
      <c r="E249" s="65"/>
      <c r="F249" s="64"/>
      <c r="G249" s="64"/>
      <c r="H249" s="66"/>
      <c r="I249" s="65"/>
    </row>
    <row r="250">
      <c r="A250" s="64"/>
      <c r="B250" s="65"/>
      <c r="C250" s="65"/>
      <c r="D250" s="65"/>
      <c r="E250" s="65"/>
      <c r="F250" s="64"/>
      <c r="G250" s="64"/>
      <c r="H250" s="66"/>
      <c r="I250" s="65"/>
    </row>
    <row r="251">
      <c r="A251" s="64"/>
      <c r="B251" s="65"/>
      <c r="C251" s="65"/>
      <c r="D251" s="65"/>
      <c r="E251" s="65"/>
      <c r="F251" s="64"/>
      <c r="G251" s="64"/>
      <c r="H251" s="66"/>
      <c r="I251" s="65"/>
    </row>
    <row r="252">
      <c r="A252" s="64"/>
      <c r="B252" s="65"/>
      <c r="C252" s="65"/>
      <c r="D252" s="65"/>
      <c r="E252" s="65"/>
      <c r="F252" s="64"/>
      <c r="G252" s="64"/>
      <c r="H252" s="66"/>
      <c r="I252" s="65"/>
    </row>
    <row r="253">
      <c r="A253" s="64"/>
      <c r="B253" s="65"/>
      <c r="C253" s="65"/>
      <c r="D253" s="65"/>
      <c r="E253" s="65"/>
      <c r="F253" s="64"/>
      <c r="G253" s="64"/>
      <c r="H253" s="66"/>
      <c r="I253" s="65"/>
    </row>
    <row r="254">
      <c r="A254" s="64"/>
      <c r="B254" s="65"/>
      <c r="C254" s="65"/>
      <c r="D254" s="65"/>
      <c r="E254" s="65"/>
      <c r="F254" s="64"/>
      <c r="G254" s="64"/>
      <c r="H254" s="66"/>
      <c r="I254" s="65"/>
    </row>
    <row r="255">
      <c r="A255" s="64"/>
      <c r="B255" s="65"/>
      <c r="C255" s="65"/>
      <c r="D255" s="65"/>
      <c r="E255" s="65"/>
      <c r="F255" s="64"/>
      <c r="G255" s="64"/>
      <c r="H255" s="66"/>
      <c r="I255" s="65"/>
    </row>
    <row r="256">
      <c r="A256" s="64"/>
      <c r="B256" s="65"/>
      <c r="C256" s="65"/>
      <c r="D256" s="65"/>
      <c r="E256" s="65"/>
      <c r="F256" s="64"/>
      <c r="G256" s="64"/>
      <c r="H256" s="66"/>
      <c r="I256" s="65"/>
    </row>
    <row r="257">
      <c r="A257" s="64"/>
      <c r="B257" s="65"/>
      <c r="C257" s="65"/>
      <c r="D257" s="65"/>
      <c r="E257" s="65"/>
      <c r="F257" s="64"/>
      <c r="G257" s="64"/>
      <c r="H257" s="66"/>
      <c r="I257" s="65"/>
    </row>
    <row r="258">
      <c r="A258" s="64"/>
      <c r="B258" s="65"/>
      <c r="C258" s="65"/>
      <c r="D258" s="65"/>
      <c r="E258" s="65"/>
      <c r="F258" s="64"/>
      <c r="G258" s="64"/>
      <c r="H258" s="66"/>
      <c r="I258" s="65"/>
    </row>
    <row r="259">
      <c r="A259" s="64"/>
      <c r="B259" s="65"/>
      <c r="C259" s="65"/>
      <c r="D259" s="65"/>
      <c r="E259" s="65"/>
      <c r="F259" s="64"/>
      <c r="G259" s="64"/>
      <c r="H259" s="66"/>
      <c r="I259" s="65"/>
    </row>
    <row r="260">
      <c r="A260" s="64"/>
      <c r="B260" s="65"/>
      <c r="C260" s="65"/>
      <c r="D260" s="65"/>
      <c r="E260" s="65"/>
      <c r="F260" s="64"/>
      <c r="G260" s="64"/>
      <c r="H260" s="66"/>
      <c r="I260" s="65"/>
    </row>
    <row r="261">
      <c r="A261" s="64"/>
      <c r="B261" s="65"/>
      <c r="C261" s="65"/>
      <c r="D261" s="65"/>
      <c r="E261" s="65"/>
      <c r="F261" s="64"/>
      <c r="G261" s="64"/>
      <c r="H261" s="66"/>
      <c r="I261" s="65"/>
    </row>
    <row r="262">
      <c r="A262" s="64"/>
      <c r="B262" s="65"/>
      <c r="C262" s="65"/>
      <c r="D262" s="65"/>
      <c r="E262" s="65"/>
      <c r="F262" s="64"/>
      <c r="G262" s="64"/>
      <c r="H262" s="66"/>
      <c r="I262" s="65"/>
    </row>
    <row r="263">
      <c r="A263" s="64"/>
      <c r="B263" s="65"/>
      <c r="C263" s="65"/>
      <c r="D263" s="65"/>
      <c r="E263" s="65"/>
      <c r="F263" s="64"/>
      <c r="G263" s="64"/>
      <c r="H263" s="66"/>
      <c r="I263" s="65"/>
    </row>
    <row r="264">
      <c r="A264" s="64"/>
      <c r="B264" s="65"/>
      <c r="C264" s="65"/>
      <c r="D264" s="65"/>
      <c r="E264" s="65"/>
      <c r="F264" s="64"/>
      <c r="G264" s="64"/>
      <c r="H264" s="66"/>
      <c r="I264" s="65"/>
    </row>
    <row r="265">
      <c r="A265" s="64"/>
      <c r="B265" s="65"/>
      <c r="C265" s="65"/>
      <c r="D265" s="65"/>
      <c r="E265" s="65"/>
      <c r="F265" s="64"/>
      <c r="G265" s="64"/>
      <c r="H265" s="66"/>
      <c r="I265" s="65"/>
    </row>
    <row r="266">
      <c r="A266" s="64"/>
      <c r="B266" s="65"/>
      <c r="C266" s="65"/>
      <c r="D266" s="65"/>
      <c r="E266" s="65"/>
      <c r="F266" s="64"/>
      <c r="G266" s="64"/>
      <c r="H266" s="66"/>
      <c r="I266" s="65"/>
    </row>
    <row r="267">
      <c r="A267" s="64"/>
      <c r="B267" s="65"/>
      <c r="C267" s="65"/>
      <c r="D267" s="65"/>
      <c r="E267" s="65"/>
      <c r="F267" s="64"/>
      <c r="G267" s="64"/>
      <c r="H267" s="66"/>
      <c r="I267" s="65"/>
    </row>
    <row r="268">
      <c r="A268" s="64"/>
      <c r="B268" s="65"/>
      <c r="C268" s="65"/>
      <c r="D268" s="65"/>
      <c r="E268" s="65"/>
      <c r="F268" s="64"/>
      <c r="G268" s="64"/>
      <c r="H268" s="66"/>
      <c r="I268" s="65"/>
    </row>
    <row r="269">
      <c r="A269" s="64"/>
      <c r="B269" s="65"/>
      <c r="C269" s="65"/>
      <c r="D269" s="65"/>
      <c r="E269" s="65"/>
      <c r="F269" s="64"/>
      <c r="G269" s="64"/>
      <c r="H269" s="66"/>
      <c r="I269" s="65"/>
    </row>
    <row r="270">
      <c r="A270" s="64"/>
      <c r="B270" s="65"/>
      <c r="C270" s="65"/>
      <c r="D270" s="65"/>
      <c r="E270" s="65"/>
      <c r="F270" s="64"/>
      <c r="G270" s="64"/>
      <c r="H270" s="66"/>
      <c r="I270" s="65"/>
    </row>
    <row r="271">
      <c r="A271" s="64"/>
      <c r="B271" s="65"/>
      <c r="C271" s="65"/>
      <c r="D271" s="65"/>
      <c r="E271" s="65"/>
      <c r="F271" s="64"/>
      <c r="G271" s="64"/>
      <c r="H271" s="66"/>
      <c r="I271" s="65"/>
    </row>
    <row r="272">
      <c r="A272" s="64"/>
      <c r="B272" s="65"/>
      <c r="C272" s="65"/>
      <c r="D272" s="65"/>
      <c r="E272" s="65"/>
      <c r="F272" s="64"/>
      <c r="G272" s="64"/>
      <c r="H272" s="66"/>
      <c r="I272" s="65"/>
    </row>
    <row r="273">
      <c r="A273" s="64"/>
      <c r="B273" s="65"/>
      <c r="C273" s="65"/>
      <c r="D273" s="65"/>
      <c r="E273" s="65"/>
      <c r="F273" s="64"/>
      <c r="G273" s="64"/>
      <c r="H273" s="66"/>
      <c r="I273" s="65"/>
    </row>
    <row r="274">
      <c r="A274" s="64"/>
      <c r="B274" s="65"/>
      <c r="C274" s="65"/>
      <c r="D274" s="65"/>
      <c r="E274" s="65"/>
      <c r="F274" s="64"/>
      <c r="G274" s="64"/>
      <c r="H274" s="66"/>
      <c r="I274" s="65"/>
    </row>
    <row r="275">
      <c r="A275" s="64"/>
      <c r="B275" s="65"/>
      <c r="C275" s="65"/>
      <c r="D275" s="65"/>
      <c r="E275" s="65"/>
      <c r="F275" s="64"/>
      <c r="G275" s="64"/>
      <c r="H275" s="66"/>
      <c r="I275" s="65"/>
    </row>
    <row r="276">
      <c r="A276" s="64"/>
      <c r="B276" s="65"/>
      <c r="C276" s="65"/>
      <c r="D276" s="65"/>
      <c r="E276" s="65"/>
      <c r="F276" s="64"/>
      <c r="G276" s="64"/>
      <c r="H276" s="66"/>
      <c r="I276" s="65"/>
    </row>
    <row r="277">
      <c r="A277" s="64"/>
      <c r="B277" s="65"/>
      <c r="C277" s="65"/>
      <c r="D277" s="65"/>
      <c r="E277" s="65"/>
      <c r="F277" s="64"/>
      <c r="G277" s="64"/>
      <c r="H277" s="66"/>
      <c r="I277" s="65"/>
    </row>
    <row r="278">
      <c r="A278" s="64"/>
      <c r="B278" s="65"/>
      <c r="C278" s="65"/>
      <c r="D278" s="65"/>
      <c r="E278" s="65"/>
      <c r="F278" s="64"/>
      <c r="G278" s="64"/>
      <c r="H278" s="66"/>
      <c r="I278" s="65"/>
    </row>
    <row r="279">
      <c r="A279" s="64"/>
      <c r="B279" s="65"/>
      <c r="C279" s="65"/>
      <c r="D279" s="65"/>
      <c r="E279" s="65"/>
      <c r="F279" s="64"/>
      <c r="G279" s="64"/>
      <c r="H279" s="66"/>
      <c r="I279" s="65"/>
    </row>
    <row r="280">
      <c r="A280" s="64"/>
      <c r="B280" s="65"/>
      <c r="C280" s="65"/>
      <c r="D280" s="65"/>
      <c r="E280" s="65"/>
      <c r="F280" s="64"/>
      <c r="G280" s="64"/>
      <c r="H280" s="66"/>
      <c r="I280" s="65"/>
    </row>
    <row r="281">
      <c r="A281" s="64"/>
      <c r="B281" s="65"/>
      <c r="C281" s="65"/>
      <c r="D281" s="65"/>
      <c r="E281" s="65"/>
      <c r="F281" s="64"/>
      <c r="G281" s="64"/>
      <c r="H281" s="66"/>
      <c r="I281" s="65"/>
    </row>
    <row r="282">
      <c r="A282" s="64"/>
      <c r="B282" s="65"/>
      <c r="C282" s="65"/>
      <c r="D282" s="65"/>
      <c r="E282" s="65"/>
      <c r="F282" s="64"/>
      <c r="G282" s="64"/>
      <c r="H282" s="66"/>
      <c r="I282" s="65"/>
    </row>
    <row r="283">
      <c r="A283" s="64"/>
      <c r="B283" s="65"/>
      <c r="C283" s="65"/>
      <c r="D283" s="65"/>
      <c r="E283" s="65"/>
      <c r="F283" s="64"/>
      <c r="G283" s="64"/>
      <c r="H283" s="66"/>
      <c r="I283" s="65"/>
    </row>
    <row r="284">
      <c r="A284" s="64"/>
      <c r="B284" s="65"/>
      <c r="C284" s="65"/>
      <c r="D284" s="65"/>
      <c r="E284" s="65"/>
      <c r="F284" s="64"/>
      <c r="G284" s="64"/>
      <c r="H284" s="66"/>
      <c r="I284" s="65"/>
    </row>
    <row r="285">
      <c r="A285" s="64"/>
      <c r="B285" s="65"/>
      <c r="C285" s="65"/>
      <c r="D285" s="65"/>
      <c r="E285" s="65"/>
      <c r="F285" s="64"/>
      <c r="G285" s="64"/>
      <c r="H285" s="66"/>
      <c r="I285" s="65"/>
    </row>
    <row r="286">
      <c r="A286" s="64"/>
      <c r="B286" s="65"/>
      <c r="C286" s="65"/>
      <c r="D286" s="65"/>
      <c r="E286" s="65"/>
      <c r="F286" s="64"/>
      <c r="G286" s="64"/>
      <c r="H286" s="66"/>
      <c r="I286" s="65"/>
    </row>
    <row r="287">
      <c r="A287" s="64"/>
      <c r="B287" s="65"/>
      <c r="C287" s="65"/>
      <c r="D287" s="65"/>
      <c r="E287" s="65"/>
      <c r="F287" s="64"/>
      <c r="G287" s="64"/>
      <c r="H287" s="66"/>
      <c r="I287" s="65"/>
    </row>
    <row r="288">
      <c r="A288" s="64"/>
      <c r="B288" s="65"/>
      <c r="C288" s="65"/>
      <c r="D288" s="65"/>
      <c r="E288" s="65"/>
      <c r="F288" s="64"/>
      <c r="G288" s="64"/>
      <c r="H288" s="66"/>
      <c r="I288" s="65"/>
    </row>
    <row r="289">
      <c r="A289" s="64"/>
      <c r="B289" s="65"/>
      <c r="C289" s="65"/>
      <c r="D289" s="65"/>
      <c r="E289" s="65"/>
      <c r="F289" s="64"/>
      <c r="G289" s="64"/>
      <c r="H289" s="66"/>
      <c r="I289" s="65"/>
    </row>
    <row r="290">
      <c r="A290" s="64"/>
      <c r="B290" s="65"/>
      <c r="C290" s="65"/>
      <c r="D290" s="65"/>
      <c r="E290" s="65"/>
      <c r="F290" s="64"/>
      <c r="G290" s="64"/>
      <c r="H290" s="66"/>
      <c r="I290" s="65"/>
    </row>
    <row r="291">
      <c r="A291" s="64"/>
      <c r="B291" s="65"/>
      <c r="C291" s="65"/>
      <c r="D291" s="65"/>
      <c r="E291" s="65"/>
      <c r="F291" s="64"/>
      <c r="G291" s="64"/>
      <c r="H291" s="66"/>
      <c r="I291" s="65"/>
    </row>
    <row r="292">
      <c r="A292" s="64"/>
      <c r="B292" s="65"/>
      <c r="C292" s="65"/>
      <c r="D292" s="65"/>
      <c r="E292" s="65"/>
      <c r="F292" s="64"/>
      <c r="G292" s="64"/>
      <c r="H292" s="66"/>
      <c r="I292" s="65"/>
    </row>
    <row r="293">
      <c r="A293" s="64"/>
      <c r="B293" s="65"/>
      <c r="C293" s="65"/>
      <c r="D293" s="65"/>
      <c r="E293" s="65"/>
      <c r="F293" s="64"/>
      <c r="G293" s="64"/>
      <c r="H293" s="66"/>
      <c r="I293" s="65"/>
    </row>
    <row r="294">
      <c r="A294" s="64"/>
      <c r="B294" s="65"/>
      <c r="C294" s="65"/>
      <c r="D294" s="65"/>
      <c r="E294" s="65"/>
      <c r="F294" s="64"/>
      <c r="G294" s="64"/>
      <c r="H294" s="66"/>
      <c r="I294" s="65"/>
    </row>
    <row r="295">
      <c r="A295" s="64"/>
      <c r="B295" s="65"/>
      <c r="C295" s="65"/>
      <c r="D295" s="65"/>
      <c r="E295" s="65"/>
      <c r="F295" s="64"/>
      <c r="G295" s="64"/>
      <c r="H295" s="66"/>
      <c r="I295" s="65"/>
    </row>
    <row r="296">
      <c r="A296" s="64"/>
      <c r="B296" s="65"/>
      <c r="C296" s="65"/>
      <c r="D296" s="65"/>
      <c r="E296" s="65"/>
      <c r="F296" s="64"/>
      <c r="G296" s="64"/>
      <c r="H296" s="66"/>
      <c r="I296" s="65"/>
    </row>
    <row r="297">
      <c r="A297" s="64"/>
      <c r="B297" s="65"/>
      <c r="C297" s="65"/>
      <c r="D297" s="65"/>
      <c r="E297" s="65"/>
      <c r="F297" s="64"/>
      <c r="G297" s="64"/>
      <c r="H297" s="66"/>
      <c r="I297" s="65"/>
    </row>
    <row r="298">
      <c r="A298" s="64"/>
      <c r="B298" s="65"/>
      <c r="C298" s="65"/>
      <c r="D298" s="65"/>
      <c r="E298" s="65"/>
      <c r="F298" s="64"/>
      <c r="G298" s="64"/>
      <c r="H298" s="66"/>
      <c r="I298" s="65"/>
    </row>
    <row r="299">
      <c r="A299" s="64"/>
      <c r="B299" s="65"/>
      <c r="C299" s="65"/>
      <c r="D299" s="65"/>
      <c r="E299" s="65"/>
      <c r="F299" s="64"/>
      <c r="G299" s="64"/>
      <c r="H299" s="66"/>
      <c r="I299" s="65"/>
    </row>
    <row r="300">
      <c r="A300" s="64"/>
      <c r="B300" s="65"/>
      <c r="C300" s="65"/>
      <c r="D300" s="65"/>
      <c r="E300" s="65"/>
      <c r="F300" s="64"/>
      <c r="G300" s="64"/>
      <c r="H300" s="66"/>
      <c r="I300" s="65"/>
    </row>
    <row r="301">
      <c r="A301" s="64"/>
      <c r="B301" s="65"/>
      <c r="C301" s="65"/>
      <c r="D301" s="65"/>
      <c r="E301" s="65"/>
      <c r="F301" s="64"/>
      <c r="G301" s="64"/>
      <c r="H301" s="66"/>
      <c r="I301" s="65"/>
    </row>
    <row r="302">
      <c r="A302" s="64"/>
      <c r="B302" s="65"/>
      <c r="C302" s="65"/>
      <c r="D302" s="65"/>
      <c r="E302" s="65"/>
      <c r="F302" s="64"/>
      <c r="G302" s="64"/>
      <c r="H302" s="66"/>
      <c r="I302" s="65"/>
    </row>
    <row r="303">
      <c r="A303" s="64"/>
      <c r="B303" s="65"/>
      <c r="C303" s="65"/>
      <c r="D303" s="65"/>
      <c r="E303" s="65"/>
      <c r="F303" s="64"/>
      <c r="G303" s="64"/>
      <c r="H303" s="66"/>
      <c r="I303" s="65"/>
    </row>
    <row r="304">
      <c r="A304" s="64"/>
      <c r="B304" s="65"/>
      <c r="C304" s="65"/>
      <c r="D304" s="65"/>
      <c r="E304" s="65"/>
      <c r="F304" s="64"/>
      <c r="G304" s="64"/>
      <c r="H304" s="66"/>
      <c r="I304" s="65"/>
    </row>
    <row r="305">
      <c r="A305" s="64"/>
      <c r="B305" s="65"/>
      <c r="C305" s="65"/>
      <c r="D305" s="65"/>
      <c r="E305" s="65"/>
      <c r="F305" s="64"/>
      <c r="G305" s="64"/>
      <c r="H305" s="66"/>
      <c r="I305" s="65"/>
    </row>
    <row r="306">
      <c r="A306" s="64"/>
      <c r="B306" s="65"/>
      <c r="C306" s="65"/>
      <c r="D306" s="65"/>
      <c r="E306" s="65"/>
      <c r="F306" s="64"/>
      <c r="G306" s="64"/>
      <c r="H306" s="66"/>
      <c r="I306" s="65"/>
    </row>
    <row r="307">
      <c r="A307" s="64"/>
      <c r="B307" s="65"/>
      <c r="C307" s="65"/>
      <c r="D307" s="65"/>
      <c r="E307" s="65"/>
      <c r="F307" s="64"/>
      <c r="G307" s="64"/>
      <c r="H307" s="66"/>
      <c r="I307" s="65"/>
    </row>
    <row r="308">
      <c r="A308" s="64"/>
      <c r="B308" s="65"/>
      <c r="C308" s="65"/>
      <c r="D308" s="65"/>
      <c r="E308" s="65"/>
      <c r="F308" s="64"/>
      <c r="G308" s="64"/>
      <c r="H308" s="66"/>
      <c r="I308" s="65"/>
    </row>
    <row r="309">
      <c r="A309" s="64"/>
      <c r="B309" s="65"/>
      <c r="C309" s="65"/>
      <c r="D309" s="65"/>
      <c r="E309" s="65"/>
      <c r="F309" s="64"/>
      <c r="G309" s="64"/>
      <c r="H309" s="66"/>
      <c r="I309" s="65"/>
    </row>
    <row r="310">
      <c r="A310" s="64"/>
      <c r="B310" s="65"/>
      <c r="C310" s="65"/>
      <c r="D310" s="65"/>
      <c r="E310" s="65"/>
      <c r="F310" s="64"/>
      <c r="G310" s="64"/>
      <c r="H310" s="66"/>
      <c r="I310" s="65"/>
    </row>
    <row r="311">
      <c r="A311" s="64"/>
      <c r="B311" s="65"/>
      <c r="C311" s="65"/>
      <c r="D311" s="65"/>
      <c r="E311" s="65"/>
      <c r="F311" s="64"/>
      <c r="G311" s="64"/>
      <c r="H311" s="66"/>
      <c r="I311" s="65"/>
    </row>
    <row r="312">
      <c r="A312" s="64"/>
      <c r="B312" s="65"/>
      <c r="C312" s="65"/>
      <c r="D312" s="65"/>
      <c r="E312" s="65"/>
      <c r="F312" s="64"/>
      <c r="G312" s="64"/>
      <c r="H312" s="66"/>
      <c r="I312" s="65"/>
    </row>
    <row r="313">
      <c r="A313" s="64"/>
      <c r="B313" s="65"/>
      <c r="C313" s="65"/>
      <c r="D313" s="65"/>
      <c r="E313" s="65"/>
      <c r="F313" s="64"/>
      <c r="G313" s="64"/>
      <c r="H313" s="66"/>
      <c r="I313" s="65"/>
    </row>
    <row r="314">
      <c r="A314" s="64"/>
      <c r="B314" s="65"/>
      <c r="C314" s="65"/>
      <c r="D314" s="65"/>
      <c r="E314" s="65"/>
      <c r="F314" s="64"/>
      <c r="G314" s="64"/>
      <c r="H314" s="66"/>
      <c r="I314" s="65"/>
    </row>
    <row r="315">
      <c r="A315" s="64"/>
      <c r="B315" s="65"/>
      <c r="C315" s="65"/>
      <c r="D315" s="65"/>
      <c r="E315" s="65"/>
      <c r="F315" s="64"/>
      <c r="G315" s="64"/>
      <c r="H315" s="66"/>
      <c r="I315" s="65"/>
    </row>
    <row r="316">
      <c r="A316" s="64"/>
      <c r="B316" s="65"/>
      <c r="C316" s="65"/>
      <c r="D316" s="65"/>
      <c r="E316" s="65"/>
      <c r="F316" s="64"/>
      <c r="G316" s="64"/>
      <c r="H316" s="66"/>
      <c r="I316" s="65"/>
    </row>
    <row r="317">
      <c r="A317" s="64"/>
      <c r="B317" s="65"/>
      <c r="C317" s="65"/>
      <c r="D317" s="65"/>
      <c r="E317" s="65"/>
      <c r="F317" s="64"/>
      <c r="G317" s="64"/>
      <c r="H317" s="66"/>
      <c r="I317" s="65"/>
    </row>
    <row r="318">
      <c r="A318" s="64"/>
      <c r="B318" s="65"/>
      <c r="C318" s="65"/>
      <c r="D318" s="65"/>
      <c r="E318" s="65"/>
      <c r="F318" s="64"/>
      <c r="G318" s="64"/>
      <c r="H318" s="66"/>
      <c r="I318" s="65"/>
    </row>
    <row r="319">
      <c r="A319" s="64"/>
      <c r="B319" s="65"/>
      <c r="C319" s="65"/>
      <c r="D319" s="65"/>
      <c r="E319" s="65"/>
      <c r="F319" s="64"/>
      <c r="G319" s="64"/>
      <c r="H319" s="66"/>
      <c r="I319" s="65"/>
    </row>
    <row r="320">
      <c r="A320" s="64"/>
      <c r="B320" s="65"/>
      <c r="C320" s="65"/>
      <c r="D320" s="65"/>
      <c r="E320" s="65"/>
      <c r="F320" s="64"/>
      <c r="G320" s="64"/>
      <c r="H320" s="66"/>
      <c r="I320" s="65"/>
    </row>
    <row r="321">
      <c r="A321" s="64"/>
      <c r="B321" s="65"/>
      <c r="C321" s="65"/>
      <c r="D321" s="65"/>
      <c r="E321" s="65"/>
      <c r="F321" s="64"/>
      <c r="G321" s="64"/>
      <c r="H321" s="66"/>
      <c r="I321" s="65"/>
    </row>
    <row r="322">
      <c r="A322" s="64"/>
      <c r="B322" s="65"/>
      <c r="C322" s="65"/>
      <c r="D322" s="65"/>
      <c r="E322" s="65"/>
      <c r="F322" s="64"/>
      <c r="G322" s="64"/>
      <c r="H322" s="66"/>
      <c r="I322" s="65"/>
    </row>
    <row r="323">
      <c r="A323" s="64"/>
      <c r="B323" s="65"/>
      <c r="C323" s="65"/>
      <c r="D323" s="65"/>
      <c r="E323" s="65"/>
      <c r="F323" s="64"/>
      <c r="G323" s="64"/>
      <c r="H323" s="66"/>
      <c r="I323" s="65"/>
    </row>
    <row r="324">
      <c r="A324" s="64"/>
      <c r="B324" s="65"/>
      <c r="C324" s="65"/>
      <c r="D324" s="65"/>
      <c r="E324" s="65"/>
      <c r="F324" s="64"/>
      <c r="G324" s="64"/>
      <c r="H324" s="66"/>
      <c r="I324" s="65"/>
    </row>
    <row r="325">
      <c r="A325" s="64"/>
      <c r="B325" s="65"/>
      <c r="C325" s="65"/>
      <c r="D325" s="65"/>
      <c r="E325" s="65"/>
      <c r="F325" s="64"/>
      <c r="G325" s="64"/>
      <c r="H325" s="66"/>
      <c r="I325" s="65"/>
    </row>
    <row r="326">
      <c r="A326" s="64"/>
      <c r="B326" s="65"/>
      <c r="C326" s="65"/>
      <c r="D326" s="65"/>
      <c r="E326" s="65"/>
      <c r="F326" s="64"/>
      <c r="G326" s="64"/>
      <c r="H326" s="66"/>
      <c r="I326" s="65"/>
    </row>
    <row r="327">
      <c r="A327" s="64"/>
      <c r="B327" s="65"/>
      <c r="C327" s="65"/>
      <c r="D327" s="65"/>
      <c r="E327" s="65"/>
      <c r="F327" s="64"/>
      <c r="G327" s="64"/>
      <c r="H327" s="66"/>
      <c r="I327" s="65"/>
    </row>
    <row r="328">
      <c r="A328" s="64"/>
      <c r="B328" s="65"/>
      <c r="C328" s="65"/>
      <c r="D328" s="65"/>
      <c r="E328" s="65"/>
      <c r="F328" s="64"/>
      <c r="G328" s="64"/>
      <c r="H328" s="66"/>
      <c r="I328" s="65"/>
    </row>
    <row r="329">
      <c r="A329" s="64"/>
      <c r="B329" s="65"/>
      <c r="C329" s="65"/>
      <c r="D329" s="65"/>
      <c r="E329" s="65"/>
      <c r="F329" s="64"/>
      <c r="G329" s="64"/>
      <c r="H329" s="66"/>
      <c r="I329" s="65"/>
    </row>
    <row r="330">
      <c r="A330" s="64"/>
      <c r="B330" s="65"/>
      <c r="C330" s="65"/>
      <c r="D330" s="65"/>
      <c r="E330" s="65"/>
      <c r="F330" s="64"/>
      <c r="G330" s="64"/>
      <c r="H330" s="66"/>
      <c r="I330" s="65"/>
    </row>
    <row r="331">
      <c r="A331" s="64"/>
      <c r="B331" s="65"/>
      <c r="C331" s="65"/>
      <c r="D331" s="65"/>
      <c r="E331" s="65"/>
      <c r="F331" s="64"/>
      <c r="G331" s="64"/>
      <c r="H331" s="66"/>
      <c r="I331" s="65"/>
    </row>
    <row r="332">
      <c r="A332" s="64"/>
      <c r="B332" s="65"/>
      <c r="C332" s="65"/>
      <c r="D332" s="65"/>
      <c r="E332" s="65"/>
      <c r="F332" s="64"/>
      <c r="G332" s="64"/>
      <c r="H332" s="66"/>
      <c r="I332" s="65"/>
    </row>
    <row r="333">
      <c r="A333" s="64"/>
      <c r="B333" s="65"/>
      <c r="C333" s="65"/>
      <c r="D333" s="65"/>
      <c r="E333" s="65"/>
      <c r="F333" s="64"/>
      <c r="G333" s="64"/>
      <c r="H333" s="66"/>
      <c r="I333" s="65"/>
    </row>
    <row r="334">
      <c r="A334" s="64"/>
      <c r="B334" s="65"/>
      <c r="C334" s="65"/>
      <c r="D334" s="65"/>
      <c r="E334" s="65"/>
      <c r="F334" s="64"/>
      <c r="G334" s="64"/>
      <c r="H334" s="66"/>
      <c r="I334" s="65"/>
    </row>
    <row r="335">
      <c r="A335" s="64"/>
      <c r="B335" s="65"/>
      <c r="C335" s="65"/>
      <c r="D335" s="65"/>
      <c r="E335" s="65"/>
      <c r="F335" s="64"/>
      <c r="G335" s="64"/>
      <c r="H335" s="66"/>
      <c r="I335" s="65"/>
    </row>
    <row r="336">
      <c r="A336" s="64"/>
      <c r="B336" s="65"/>
      <c r="C336" s="65"/>
      <c r="D336" s="65"/>
      <c r="E336" s="65"/>
      <c r="F336" s="64"/>
      <c r="G336" s="64"/>
      <c r="H336" s="66"/>
      <c r="I336" s="65"/>
    </row>
    <row r="337">
      <c r="A337" s="64"/>
      <c r="B337" s="65"/>
      <c r="C337" s="65"/>
      <c r="D337" s="65"/>
      <c r="E337" s="65"/>
      <c r="F337" s="64"/>
      <c r="G337" s="64"/>
      <c r="H337" s="66"/>
      <c r="I337" s="65"/>
    </row>
    <row r="338">
      <c r="A338" s="64"/>
      <c r="B338" s="65"/>
      <c r="C338" s="65"/>
      <c r="D338" s="65"/>
      <c r="E338" s="65"/>
      <c r="F338" s="64"/>
      <c r="G338" s="64"/>
      <c r="H338" s="66"/>
      <c r="I338" s="65"/>
    </row>
    <row r="339">
      <c r="A339" s="64"/>
      <c r="B339" s="65"/>
      <c r="C339" s="65"/>
      <c r="D339" s="65"/>
      <c r="E339" s="65"/>
      <c r="F339" s="64"/>
      <c r="G339" s="64"/>
      <c r="H339" s="66"/>
      <c r="I339" s="65"/>
    </row>
    <row r="340">
      <c r="A340" s="64"/>
      <c r="B340" s="65"/>
      <c r="C340" s="65"/>
      <c r="D340" s="65"/>
      <c r="E340" s="65"/>
      <c r="F340" s="64"/>
      <c r="G340" s="64"/>
      <c r="H340" s="66"/>
      <c r="I340" s="65"/>
    </row>
    <row r="341">
      <c r="A341" s="64"/>
      <c r="B341" s="65"/>
      <c r="C341" s="65"/>
      <c r="D341" s="65"/>
      <c r="E341" s="65"/>
      <c r="F341" s="64"/>
      <c r="G341" s="64"/>
      <c r="H341" s="66"/>
      <c r="I341" s="65"/>
    </row>
    <row r="342">
      <c r="A342" s="64"/>
      <c r="B342" s="65"/>
      <c r="C342" s="65"/>
      <c r="D342" s="65"/>
      <c r="E342" s="65"/>
      <c r="F342" s="64"/>
      <c r="G342" s="64"/>
      <c r="H342" s="66"/>
      <c r="I342" s="65"/>
    </row>
    <row r="343">
      <c r="A343" s="64"/>
      <c r="B343" s="65"/>
      <c r="C343" s="65"/>
      <c r="D343" s="65"/>
      <c r="E343" s="65"/>
      <c r="F343" s="64"/>
      <c r="G343" s="64"/>
      <c r="H343" s="66"/>
      <c r="I343" s="65"/>
    </row>
    <row r="344">
      <c r="A344" s="64"/>
      <c r="B344" s="65"/>
      <c r="C344" s="65"/>
      <c r="D344" s="65"/>
      <c r="E344" s="65"/>
      <c r="F344" s="64"/>
      <c r="G344" s="64"/>
      <c r="H344" s="66"/>
      <c r="I344" s="65"/>
    </row>
    <row r="345">
      <c r="A345" s="64"/>
      <c r="B345" s="65"/>
      <c r="C345" s="65"/>
      <c r="D345" s="65"/>
      <c r="E345" s="65"/>
      <c r="F345" s="64"/>
      <c r="G345" s="64"/>
      <c r="H345" s="66"/>
      <c r="I345" s="65"/>
    </row>
    <row r="346">
      <c r="A346" s="64"/>
      <c r="B346" s="65"/>
      <c r="C346" s="65"/>
      <c r="D346" s="65"/>
      <c r="E346" s="65"/>
      <c r="F346" s="64"/>
      <c r="G346" s="64"/>
      <c r="H346" s="66"/>
      <c r="I346" s="65"/>
    </row>
    <row r="347">
      <c r="A347" s="64"/>
      <c r="B347" s="65"/>
      <c r="C347" s="65"/>
      <c r="D347" s="65"/>
      <c r="E347" s="65"/>
      <c r="F347" s="64"/>
      <c r="G347" s="64"/>
      <c r="H347" s="66"/>
      <c r="I347" s="65"/>
    </row>
    <row r="348">
      <c r="A348" s="64"/>
      <c r="B348" s="65"/>
      <c r="C348" s="65"/>
      <c r="D348" s="65"/>
      <c r="E348" s="65"/>
      <c r="F348" s="64"/>
      <c r="G348" s="64"/>
      <c r="H348" s="66"/>
      <c r="I348" s="65"/>
    </row>
    <row r="349">
      <c r="A349" s="64"/>
      <c r="B349" s="65"/>
      <c r="C349" s="65"/>
      <c r="D349" s="65"/>
      <c r="E349" s="65"/>
      <c r="F349" s="64"/>
      <c r="G349" s="64"/>
      <c r="H349" s="66"/>
      <c r="I349" s="65"/>
    </row>
    <row r="350">
      <c r="A350" s="64"/>
      <c r="B350" s="65"/>
      <c r="C350" s="65"/>
      <c r="D350" s="65"/>
      <c r="E350" s="65"/>
      <c r="F350" s="64"/>
      <c r="G350" s="64"/>
      <c r="H350" s="66"/>
      <c r="I350" s="65"/>
    </row>
    <row r="351">
      <c r="A351" s="64"/>
      <c r="B351" s="65"/>
      <c r="C351" s="65"/>
      <c r="D351" s="65"/>
      <c r="E351" s="65"/>
      <c r="F351" s="64"/>
      <c r="G351" s="64"/>
      <c r="H351" s="66"/>
      <c r="I351" s="65"/>
    </row>
    <row r="352">
      <c r="A352" s="64"/>
      <c r="B352" s="65"/>
      <c r="C352" s="65"/>
      <c r="D352" s="65"/>
      <c r="E352" s="65"/>
      <c r="F352" s="64"/>
      <c r="G352" s="64"/>
      <c r="H352" s="66"/>
      <c r="I352" s="65"/>
    </row>
    <row r="353">
      <c r="A353" s="64"/>
      <c r="B353" s="65"/>
      <c r="C353" s="65"/>
      <c r="D353" s="65"/>
      <c r="E353" s="65"/>
      <c r="F353" s="64"/>
      <c r="G353" s="64"/>
      <c r="H353" s="66"/>
      <c r="I353" s="65"/>
    </row>
    <row r="354">
      <c r="A354" s="64"/>
      <c r="B354" s="65"/>
      <c r="C354" s="65"/>
      <c r="D354" s="65"/>
      <c r="E354" s="65"/>
      <c r="F354" s="64"/>
      <c r="G354" s="64"/>
      <c r="H354" s="66"/>
      <c r="I354" s="65"/>
    </row>
    <row r="355">
      <c r="A355" s="64"/>
      <c r="B355" s="65"/>
      <c r="C355" s="65"/>
      <c r="D355" s="65"/>
      <c r="E355" s="65"/>
      <c r="F355" s="64"/>
      <c r="G355" s="64"/>
      <c r="H355" s="66"/>
      <c r="I355" s="65"/>
    </row>
    <row r="356">
      <c r="A356" s="64"/>
      <c r="B356" s="65"/>
      <c r="C356" s="65"/>
      <c r="D356" s="65"/>
      <c r="E356" s="65"/>
      <c r="F356" s="64"/>
      <c r="G356" s="64"/>
      <c r="H356" s="66"/>
      <c r="I356" s="65"/>
    </row>
    <row r="357">
      <c r="A357" s="64"/>
      <c r="B357" s="65"/>
      <c r="C357" s="65"/>
      <c r="D357" s="65"/>
      <c r="E357" s="65"/>
      <c r="F357" s="64"/>
      <c r="G357" s="64"/>
      <c r="H357" s="66"/>
      <c r="I357" s="65"/>
    </row>
    <row r="358">
      <c r="A358" s="64"/>
      <c r="B358" s="65"/>
      <c r="C358" s="65"/>
      <c r="D358" s="65"/>
      <c r="E358" s="65"/>
      <c r="F358" s="64"/>
      <c r="G358" s="64"/>
      <c r="H358" s="66"/>
      <c r="I358" s="65"/>
    </row>
    <row r="359">
      <c r="A359" s="64"/>
      <c r="B359" s="65"/>
      <c r="C359" s="65"/>
      <c r="D359" s="65"/>
      <c r="E359" s="65"/>
      <c r="F359" s="64"/>
      <c r="G359" s="64"/>
      <c r="H359" s="66"/>
      <c r="I359" s="65"/>
    </row>
    <row r="360">
      <c r="A360" s="64"/>
      <c r="B360" s="65"/>
      <c r="C360" s="65"/>
      <c r="D360" s="65"/>
      <c r="E360" s="65"/>
      <c r="F360" s="64"/>
      <c r="G360" s="64"/>
      <c r="H360" s="66"/>
      <c r="I360" s="65"/>
    </row>
    <row r="361">
      <c r="A361" s="64"/>
      <c r="B361" s="65"/>
      <c r="C361" s="65"/>
      <c r="D361" s="65"/>
      <c r="E361" s="65"/>
      <c r="F361" s="64"/>
      <c r="G361" s="64"/>
      <c r="H361" s="66"/>
      <c r="I361" s="65"/>
    </row>
    <row r="362">
      <c r="A362" s="64"/>
      <c r="B362" s="65"/>
      <c r="C362" s="65"/>
      <c r="D362" s="65"/>
      <c r="E362" s="65"/>
      <c r="F362" s="64"/>
      <c r="G362" s="64"/>
      <c r="H362" s="66"/>
      <c r="I362" s="65"/>
    </row>
    <row r="363">
      <c r="A363" s="64"/>
      <c r="B363" s="65"/>
      <c r="C363" s="65"/>
      <c r="D363" s="65"/>
      <c r="E363" s="65"/>
      <c r="F363" s="64"/>
      <c r="G363" s="64"/>
      <c r="H363" s="66"/>
      <c r="I363" s="65"/>
    </row>
    <row r="364">
      <c r="A364" s="64"/>
      <c r="B364" s="65"/>
      <c r="C364" s="65"/>
      <c r="D364" s="65"/>
      <c r="E364" s="65"/>
      <c r="F364" s="64"/>
      <c r="G364" s="64"/>
      <c r="H364" s="66"/>
      <c r="I364" s="65"/>
    </row>
    <row r="365">
      <c r="A365" s="64"/>
      <c r="B365" s="65"/>
      <c r="C365" s="65"/>
      <c r="D365" s="65"/>
      <c r="E365" s="65"/>
      <c r="F365" s="64"/>
      <c r="G365" s="64"/>
      <c r="H365" s="66"/>
      <c r="I365" s="65"/>
    </row>
    <row r="366">
      <c r="A366" s="64"/>
      <c r="B366" s="65"/>
      <c r="C366" s="65"/>
      <c r="D366" s="65"/>
      <c r="E366" s="65"/>
      <c r="F366" s="64"/>
      <c r="G366" s="64"/>
      <c r="H366" s="66"/>
      <c r="I366" s="65"/>
    </row>
    <row r="367">
      <c r="A367" s="64"/>
      <c r="B367" s="65"/>
      <c r="C367" s="65"/>
      <c r="D367" s="65"/>
      <c r="E367" s="65"/>
      <c r="F367" s="64"/>
      <c r="G367" s="64"/>
      <c r="H367" s="66"/>
      <c r="I367" s="65"/>
    </row>
    <row r="368">
      <c r="A368" s="64"/>
      <c r="B368" s="65"/>
      <c r="C368" s="65"/>
      <c r="D368" s="65"/>
      <c r="E368" s="65"/>
      <c r="F368" s="64"/>
      <c r="G368" s="64"/>
      <c r="H368" s="66"/>
      <c r="I368" s="65"/>
    </row>
    <row r="369">
      <c r="A369" s="64"/>
      <c r="B369" s="65"/>
      <c r="C369" s="65"/>
      <c r="D369" s="65"/>
      <c r="E369" s="65"/>
      <c r="F369" s="64"/>
      <c r="G369" s="64"/>
      <c r="H369" s="66"/>
      <c r="I369" s="65"/>
    </row>
    <row r="370">
      <c r="A370" s="64"/>
      <c r="B370" s="65"/>
      <c r="C370" s="65"/>
      <c r="D370" s="65"/>
      <c r="E370" s="65"/>
      <c r="F370" s="64"/>
      <c r="G370" s="64"/>
      <c r="H370" s="66"/>
      <c r="I370" s="65"/>
    </row>
    <row r="371">
      <c r="A371" s="64"/>
      <c r="B371" s="65"/>
      <c r="C371" s="65"/>
      <c r="D371" s="65"/>
      <c r="E371" s="65"/>
      <c r="F371" s="64"/>
      <c r="G371" s="64"/>
      <c r="H371" s="66"/>
      <c r="I371" s="65"/>
    </row>
    <row r="372">
      <c r="A372" s="64"/>
      <c r="B372" s="65"/>
      <c r="C372" s="65"/>
      <c r="D372" s="65"/>
      <c r="E372" s="65"/>
      <c r="F372" s="64"/>
      <c r="G372" s="64"/>
      <c r="H372" s="66"/>
      <c r="I372" s="65"/>
    </row>
    <row r="373">
      <c r="A373" s="64"/>
      <c r="B373" s="65"/>
      <c r="C373" s="65"/>
      <c r="D373" s="65"/>
      <c r="E373" s="65"/>
      <c r="F373" s="64"/>
      <c r="G373" s="64"/>
      <c r="H373" s="66"/>
      <c r="I373" s="65"/>
    </row>
    <row r="374">
      <c r="A374" s="64"/>
      <c r="B374" s="65"/>
      <c r="C374" s="65"/>
      <c r="D374" s="65"/>
      <c r="E374" s="65"/>
      <c r="F374" s="64"/>
      <c r="G374" s="64"/>
      <c r="H374" s="66"/>
      <c r="I374" s="65"/>
    </row>
    <row r="375">
      <c r="A375" s="64"/>
      <c r="B375" s="65"/>
      <c r="C375" s="65"/>
      <c r="D375" s="65"/>
      <c r="E375" s="65"/>
      <c r="F375" s="64"/>
      <c r="G375" s="64"/>
      <c r="H375" s="66"/>
      <c r="I375" s="65"/>
    </row>
    <row r="376">
      <c r="A376" s="64"/>
      <c r="B376" s="65"/>
      <c r="C376" s="65"/>
      <c r="D376" s="65"/>
      <c r="E376" s="65"/>
      <c r="F376" s="64"/>
      <c r="G376" s="64"/>
      <c r="H376" s="66"/>
      <c r="I376" s="65"/>
    </row>
    <row r="377">
      <c r="A377" s="64"/>
      <c r="B377" s="65"/>
      <c r="C377" s="65"/>
      <c r="D377" s="65"/>
      <c r="E377" s="65"/>
      <c r="F377" s="64"/>
      <c r="G377" s="64"/>
      <c r="H377" s="66"/>
      <c r="I377" s="65"/>
    </row>
    <row r="378">
      <c r="A378" s="64"/>
      <c r="B378" s="65"/>
      <c r="C378" s="65"/>
      <c r="D378" s="65"/>
      <c r="E378" s="65"/>
      <c r="F378" s="64"/>
      <c r="G378" s="64"/>
      <c r="H378" s="66"/>
      <c r="I378" s="65"/>
    </row>
    <row r="379">
      <c r="A379" s="64"/>
      <c r="B379" s="65"/>
      <c r="C379" s="65"/>
      <c r="D379" s="65"/>
      <c r="E379" s="65"/>
      <c r="F379" s="64"/>
      <c r="G379" s="64"/>
      <c r="H379" s="66"/>
      <c r="I379" s="65"/>
    </row>
    <row r="380">
      <c r="A380" s="64"/>
      <c r="B380" s="65"/>
      <c r="C380" s="65"/>
      <c r="D380" s="65"/>
      <c r="E380" s="65"/>
      <c r="F380" s="64"/>
      <c r="G380" s="64"/>
      <c r="H380" s="66"/>
      <c r="I380" s="65"/>
    </row>
    <row r="381">
      <c r="A381" s="64"/>
      <c r="B381" s="65"/>
      <c r="C381" s="65"/>
      <c r="D381" s="65"/>
      <c r="E381" s="65"/>
      <c r="F381" s="64"/>
      <c r="G381" s="64"/>
      <c r="H381" s="66"/>
      <c r="I381" s="65"/>
    </row>
    <row r="382">
      <c r="A382" s="64"/>
      <c r="B382" s="65"/>
      <c r="C382" s="65"/>
      <c r="D382" s="65"/>
      <c r="E382" s="65"/>
      <c r="F382" s="64"/>
      <c r="G382" s="64"/>
      <c r="H382" s="66"/>
      <c r="I382" s="65"/>
    </row>
    <row r="383">
      <c r="A383" s="64"/>
      <c r="B383" s="65"/>
      <c r="C383" s="65"/>
      <c r="D383" s="65"/>
      <c r="E383" s="65"/>
      <c r="F383" s="64"/>
      <c r="G383" s="64"/>
      <c r="H383" s="66"/>
      <c r="I383" s="65"/>
    </row>
    <row r="384">
      <c r="A384" s="64"/>
      <c r="B384" s="65"/>
      <c r="C384" s="65"/>
      <c r="D384" s="65"/>
      <c r="E384" s="65"/>
      <c r="F384" s="64"/>
      <c r="G384" s="64"/>
      <c r="H384" s="66"/>
      <c r="I384" s="65"/>
    </row>
    <row r="385">
      <c r="A385" s="64"/>
      <c r="B385" s="65"/>
      <c r="C385" s="65"/>
      <c r="D385" s="65"/>
      <c r="E385" s="65"/>
      <c r="F385" s="64"/>
      <c r="G385" s="64"/>
      <c r="H385" s="66"/>
      <c r="I385" s="65"/>
    </row>
    <row r="386">
      <c r="A386" s="64"/>
      <c r="B386" s="65"/>
      <c r="C386" s="65"/>
      <c r="D386" s="65"/>
      <c r="E386" s="65"/>
      <c r="F386" s="64"/>
      <c r="G386" s="64"/>
      <c r="H386" s="66"/>
      <c r="I386" s="65"/>
    </row>
    <row r="387">
      <c r="A387" s="64"/>
      <c r="B387" s="65"/>
      <c r="C387" s="65"/>
      <c r="D387" s="65"/>
      <c r="E387" s="65"/>
      <c r="F387" s="64"/>
      <c r="G387" s="64"/>
      <c r="H387" s="66"/>
      <c r="I387" s="65"/>
    </row>
    <row r="388">
      <c r="A388" s="64"/>
      <c r="B388" s="65"/>
      <c r="C388" s="65"/>
      <c r="D388" s="65"/>
      <c r="E388" s="65"/>
      <c r="F388" s="64"/>
      <c r="G388" s="64"/>
      <c r="H388" s="66"/>
      <c r="I388" s="65"/>
    </row>
    <row r="389">
      <c r="A389" s="64"/>
      <c r="B389" s="65"/>
      <c r="C389" s="65"/>
      <c r="D389" s="65"/>
      <c r="E389" s="65"/>
      <c r="F389" s="64"/>
      <c r="G389" s="64"/>
      <c r="H389" s="66"/>
      <c r="I389" s="65"/>
    </row>
    <row r="390">
      <c r="A390" s="64"/>
      <c r="B390" s="65"/>
      <c r="C390" s="65"/>
      <c r="D390" s="65"/>
      <c r="E390" s="65"/>
      <c r="F390" s="64"/>
      <c r="G390" s="64"/>
      <c r="H390" s="66"/>
      <c r="I390" s="65"/>
    </row>
    <row r="391">
      <c r="A391" s="64"/>
      <c r="B391" s="65"/>
      <c r="C391" s="65"/>
      <c r="D391" s="65"/>
      <c r="E391" s="65"/>
      <c r="F391" s="64"/>
      <c r="G391" s="64"/>
      <c r="H391" s="66"/>
      <c r="I391" s="65"/>
    </row>
    <row r="392">
      <c r="A392" s="64"/>
      <c r="B392" s="65"/>
      <c r="C392" s="65"/>
      <c r="D392" s="65"/>
      <c r="E392" s="65"/>
      <c r="F392" s="64"/>
      <c r="G392" s="64"/>
      <c r="H392" s="66"/>
      <c r="I392" s="65"/>
    </row>
    <row r="393">
      <c r="A393" s="64"/>
      <c r="B393" s="65"/>
      <c r="C393" s="65"/>
      <c r="D393" s="65"/>
      <c r="E393" s="65"/>
      <c r="F393" s="64"/>
      <c r="G393" s="64"/>
      <c r="H393" s="66"/>
      <c r="I393" s="65"/>
    </row>
    <row r="394">
      <c r="A394" s="64"/>
      <c r="B394" s="65"/>
      <c r="C394" s="65"/>
      <c r="D394" s="65"/>
      <c r="E394" s="65"/>
      <c r="F394" s="64"/>
      <c r="G394" s="64"/>
      <c r="H394" s="66"/>
      <c r="I394" s="65"/>
    </row>
    <row r="395">
      <c r="A395" s="64"/>
      <c r="B395" s="65"/>
      <c r="C395" s="65"/>
      <c r="D395" s="65"/>
      <c r="E395" s="65"/>
      <c r="F395" s="64"/>
      <c r="G395" s="64"/>
      <c r="H395" s="66"/>
      <c r="I395" s="65"/>
    </row>
    <row r="396">
      <c r="A396" s="64"/>
      <c r="B396" s="65"/>
      <c r="C396" s="65"/>
      <c r="D396" s="65"/>
      <c r="E396" s="65"/>
      <c r="F396" s="64"/>
      <c r="G396" s="64"/>
      <c r="H396" s="66"/>
      <c r="I396" s="65"/>
    </row>
    <row r="397">
      <c r="A397" s="64"/>
      <c r="B397" s="65"/>
      <c r="C397" s="65"/>
      <c r="D397" s="65"/>
      <c r="E397" s="65"/>
      <c r="F397" s="64"/>
      <c r="G397" s="64"/>
      <c r="H397" s="66"/>
      <c r="I397" s="65"/>
    </row>
    <row r="398">
      <c r="A398" s="64"/>
      <c r="B398" s="65"/>
      <c r="C398" s="65"/>
      <c r="D398" s="65"/>
      <c r="E398" s="65"/>
      <c r="F398" s="64"/>
      <c r="G398" s="64"/>
      <c r="H398" s="66"/>
      <c r="I398" s="65"/>
    </row>
    <row r="399">
      <c r="A399" s="64"/>
      <c r="B399" s="65"/>
      <c r="C399" s="65"/>
      <c r="D399" s="65"/>
      <c r="E399" s="65"/>
      <c r="F399" s="64"/>
      <c r="G399" s="64"/>
      <c r="H399" s="66"/>
      <c r="I399" s="65"/>
    </row>
    <row r="400">
      <c r="A400" s="64"/>
      <c r="B400" s="65"/>
      <c r="C400" s="65"/>
      <c r="D400" s="65"/>
      <c r="E400" s="65"/>
      <c r="F400" s="64"/>
      <c r="G400" s="64"/>
      <c r="H400" s="66"/>
      <c r="I400" s="65"/>
    </row>
    <row r="401">
      <c r="A401" s="64"/>
      <c r="B401" s="65"/>
      <c r="C401" s="65"/>
      <c r="D401" s="65"/>
      <c r="E401" s="65"/>
      <c r="F401" s="64"/>
      <c r="G401" s="64"/>
      <c r="H401" s="66"/>
      <c r="I401" s="65"/>
    </row>
    <row r="402">
      <c r="A402" s="64"/>
      <c r="B402" s="65"/>
      <c r="C402" s="65"/>
      <c r="D402" s="65"/>
      <c r="E402" s="65"/>
      <c r="F402" s="64"/>
      <c r="G402" s="64"/>
      <c r="H402" s="66"/>
      <c r="I402" s="65"/>
    </row>
    <row r="403">
      <c r="A403" s="64"/>
      <c r="B403" s="65"/>
      <c r="C403" s="65"/>
      <c r="D403" s="65"/>
      <c r="E403" s="65"/>
      <c r="F403" s="64"/>
      <c r="G403" s="64"/>
      <c r="H403" s="66"/>
      <c r="I403" s="65"/>
    </row>
    <row r="404">
      <c r="A404" s="64"/>
      <c r="B404" s="65"/>
      <c r="C404" s="65"/>
      <c r="D404" s="65"/>
      <c r="E404" s="65"/>
      <c r="F404" s="64"/>
      <c r="G404" s="64"/>
      <c r="H404" s="66"/>
      <c r="I404" s="65"/>
    </row>
    <row r="405">
      <c r="A405" s="64"/>
      <c r="B405" s="65"/>
      <c r="C405" s="65"/>
      <c r="D405" s="65"/>
      <c r="E405" s="65"/>
      <c r="F405" s="64"/>
      <c r="G405" s="64"/>
      <c r="H405" s="66"/>
      <c r="I405" s="65"/>
    </row>
    <row r="406">
      <c r="A406" s="64"/>
      <c r="B406" s="65"/>
      <c r="C406" s="65"/>
      <c r="D406" s="65"/>
      <c r="E406" s="65"/>
      <c r="F406" s="64"/>
      <c r="G406" s="64"/>
      <c r="H406" s="66"/>
      <c r="I406" s="65"/>
    </row>
    <row r="407">
      <c r="A407" s="64"/>
      <c r="B407" s="65"/>
      <c r="C407" s="65"/>
      <c r="D407" s="65"/>
      <c r="E407" s="65"/>
      <c r="F407" s="64"/>
      <c r="G407" s="64"/>
      <c r="H407" s="66"/>
      <c r="I407" s="65"/>
    </row>
    <row r="408">
      <c r="A408" s="64"/>
      <c r="B408" s="65"/>
      <c r="C408" s="65"/>
      <c r="D408" s="65"/>
      <c r="E408" s="65"/>
      <c r="F408" s="64"/>
      <c r="G408" s="64"/>
      <c r="H408" s="66"/>
      <c r="I408" s="65"/>
    </row>
    <row r="409">
      <c r="A409" s="64"/>
      <c r="B409" s="65"/>
      <c r="C409" s="65"/>
      <c r="D409" s="65"/>
      <c r="E409" s="65"/>
      <c r="F409" s="64"/>
      <c r="G409" s="64"/>
      <c r="H409" s="66"/>
      <c r="I409" s="65"/>
    </row>
    <row r="410">
      <c r="A410" s="64"/>
      <c r="B410" s="65"/>
      <c r="C410" s="65"/>
      <c r="D410" s="65"/>
      <c r="E410" s="65"/>
      <c r="F410" s="64"/>
      <c r="G410" s="64"/>
      <c r="H410" s="66"/>
      <c r="I410" s="65"/>
    </row>
    <row r="411">
      <c r="A411" s="64"/>
      <c r="B411" s="65"/>
      <c r="C411" s="65"/>
      <c r="D411" s="65"/>
      <c r="E411" s="65"/>
      <c r="F411" s="64"/>
      <c r="G411" s="64"/>
      <c r="H411" s="66"/>
      <c r="I411" s="65"/>
    </row>
    <row r="412">
      <c r="A412" s="64"/>
      <c r="B412" s="65"/>
      <c r="C412" s="65"/>
      <c r="D412" s="65"/>
      <c r="E412" s="65"/>
      <c r="F412" s="64"/>
      <c r="G412" s="64"/>
      <c r="H412" s="66"/>
      <c r="I412" s="65"/>
    </row>
    <row r="413">
      <c r="A413" s="64"/>
      <c r="B413" s="65"/>
      <c r="C413" s="65"/>
      <c r="D413" s="65"/>
      <c r="E413" s="65"/>
      <c r="F413" s="64"/>
      <c r="G413" s="64"/>
      <c r="H413" s="66"/>
      <c r="I413" s="65"/>
    </row>
    <row r="414">
      <c r="A414" s="64"/>
      <c r="B414" s="65"/>
      <c r="C414" s="65"/>
      <c r="D414" s="65"/>
      <c r="E414" s="65"/>
      <c r="F414" s="64"/>
      <c r="G414" s="64"/>
      <c r="H414" s="66"/>
      <c r="I414" s="65"/>
    </row>
    <row r="415">
      <c r="A415" s="64"/>
      <c r="B415" s="65"/>
      <c r="C415" s="65"/>
      <c r="D415" s="65"/>
      <c r="E415" s="65"/>
      <c r="F415" s="64"/>
      <c r="G415" s="64"/>
      <c r="H415" s="66"/>
      <c r="I415" s="65"/>
    </row>
    <row r="416">
      <c r="A416" s="64"/>
      <c r="B416" s="65"/>
      <c r="C416" s="65"/>
      <c r="D416" s="65"/>
      <c r="E416" s="65"/>
      <c r="F416" s="64"/>
      <c r="G416" s="64"/>
      <c r="H416" s="66"/>
      <c r="I416" s="65"/>
    </row>
    <row r="417">
      <c r="A417" s="64"/>
      <c r="B417" s="65"/>
      <c r="C417" s="65"/>
      <c r="D417" s="65"/>
      <c r="E417" s="65"/>
      <c r="F417" s="64"/>
      <c r="G417" s="64"/>
      <c r="H417" s="66"/>
      <c r="I417" s="65"/>
    </row>
    <row r="418">
      <c r="A418" s="64"/>
      <c r="B418" s="65"/>
      <c r="C418" s="65"/>
      <c r="D418" s="65"/>
      <c r="E418" s="65"/>
      <c r="F418" s="64"/>
      <c r="G418" s="64"/>
      <c r="H418" s="66"/>
      <c r="I418" s="65"/>
    </row>
    <row r="419">
      <c r="A419" s="64"/>
      <c r="B419" s="65"/>
      <c r="C419" s="65"/>
      <c r="D419" s="65"/>
      <c r="E419" s="65"/>
      <c r="F419" s="64"/>
      <c r="G419" s="64"/>
      <c r="H419" s="66"/>
      <c r="I419" s="65"/>
    </row>
    <row r="420">
      <c r="A420" s="64"/>
      <c r="B420" s="65"/>
      <c r="C420" s="65"/>
      <c r="D420" s="65"/>
      <c r="E420" s="65"/>
      <c r="F420" s="64"/>
      <c r="G420" s="64"/>
      <c r="H420" s="66"/>
      <c r="I420" s="65"/>
    </row>
    <row r="421">
      <c r="A421" s="64"/>
      <c r="B421" s="65"/>
      <c r="C421" s="65"/>
      <c r="D421" s="65"/>
      <c r="E421" s="65"/>
      <c r="F421" s="64"/>
      <c r="G421" s="64"/>
      <c r="H421" s="66"/>
      <c r="I421" s="65"/>
    </row>
    <row r="422">
      <c r="A422" s="64"/>
      <c r="B422" s="65"/>
      <c r="C422" s="65"/>
      <c r="D422" s="65"/>
      <c r="E422" s="65"/>
      <c r="F422" s="64"/>
      <c r="G422" s="64"/>
      <c r="H422" s="66"/>
      <c r="I422" s="65"/>
    </row>
    <row r="423">
      <c r="A423" s="64"/>
      <c r="B423" s="65"/>
      <c r="C423" s="65"/>
      <c r="D423" s="65"/>
      <c r="E423" s="65"/>
      <c r="F423" s="64"/>
      <c r="G423" s="64"/>
      <c r="H423" s="66"/>
      <c r="I423" s="65"/>
    </row>
    <row r="424">
      <c r="A424" s="64"/>
      <c r="B424" s="65"/>
      <c r="C424" s="65"/>
      <c r="D424" s="65"/>
      <c r="E424" s="65"/>
      <c r="F424" s="64"/>
      <c r="G424" s="64"/>
      <c r="H424" s="66"/>
      <c r="I424" s="65"/>
    </row>
    <row r="425">
      <c r="A425" s="64"/>
      <c r="B425" s="65"/>
      <c r="C425" s="65"/>
      <c r="D425" s="65"/>
      <c r="E425" s="65"/>
      <c r="F425" s="64"/>
      <c r="G425" s="64"/>
      <c r="H425" s="66"/>
      <c r="I425" s="65"/>
    </row>
    <row r="426">
      <c r="A426" s="64"/>
      <c r="B426" s="65"/>
      <c r="C426" s="65"/>
      <c r="D426" s="65"/>
      <c r="E426" s="65"/>
      <c r="F426" s="64"/>
      <c r="G426" s="64"/>
      <c r="H426" s="66"/>
      <c r="I426" s="65"/>
    </row>
    <row r="427">
      <c r="A427" s="64"/>
      <c r="B427" s="65"/>
      <c r="C427" s="65"/>
      <c r="D427" s="65"/>
      <c r="E427" s="65"/>
      <c r="F427" s="64"/>
      <c r="G427" s="64"/>
      <c r="H427" s="66"/>
      <c r="I427" s="65"/>
    </row>
    <row r="428">
      <c r="A428" s="64"/>
      <c r="B428" s="65"/>
      <c r="C428" s="65"/>
      <c r="D428" s="65"/>
      <c r="E428" s="65"/>
      <c r="F428" s="64"/>
      <c r="G428" s="64"/>
      <c r="H428" s="66"/>
      <c r="I428" s="65"/>
    </row>
    <row r="429">
      <c r="A429" s="64"/>
      <c r="B429" s="65"/>
      <c r="C429" s="65"/>
      <c r="D429" s="65"/>
      <c r="E429" s="65"/>
      <c r="F429" s="64"/>
      <c r="G429" s="64"/>
      <c r="H429" s="66"/>
      <c r="I429" s="65"/>
    </row>
    <row r="430">
      <c r="A430" s="64"/>
      <c r="B430" s="65"/>
      <c r="C430" s="65"/>
      <c r="D430" s="65"/>
      <c r="E430" s="65"/>
      <c r="F430" s="64"/>
      <c r="G430" s="64"/>
      <c r="H430" s="66"/>
      <c r="I430" s="65"/>
    </row>
    <row r="431">
      <c r="A431" s="64"/>
      <c r="B431" s="65"/>
      <c r="C431" s="65"/>
      <c r="D431" s="65"/>
      <c r="E431" s="65"/>
      <c r="F431" s="64"/>
      <c r="G431" s="64"/>
      <c r="H431" s="66"/>
      <c r="I431" s="65"/>
    </row>
    <row r="432">
      <c r="A432" s="64"/>
      <c r="B432" s="65"/>
      <c r="C432" s="65"/>
      <c r="D432" s="65"/>
      <c r="E432" s="65"/>
      <c r="F432" s="64"/>
      <c r="G432" s="64"/>
      <c r="H432" s="66"/>
      <c r="I432" s="65"/>
    </row>
    <row r="433">
      <c r="A433" s="64"/>
      <c r="B433" s="65"/>
      <c r="C433" s="65"/>
      <c r="D433" s="65"/>
      <c r="E433" s="65"/>
      <c r="F433" s="64"/>
      <c r="G433" s="64"/>
      <c r="H433" s="66"/>
      <c r="I433" s="65"/>
    </row>
    <row r="434">
      <c r="A434" s="64"/>
      <c r="B434" s="65"/>
      <c r="C434" s="65"/>
      <c r="D434" s="65"/>
      <c r="E434" s="65"/>
      <c r="F434" s="64"/>
      <c r="G434" s="64"/>
      <c r="H434" s="66"/>
      <c r="I434" s="65"/>
    </row>
    <row r="435">
      <c r="A435" s="64"/>
      <c r="B435" s="65"/>
      <c r="C435" s="65"/>
      <c r="D435" s="65"/>
      <c r="E435" s="65"/>
      <c r="F435" s="64"/>
      <c r="G435" s="64"/>
      <c r="H435" s="66"/>
      <c r="I435" s="65"/>
    </row>
    <row r="436">
      <c r="A436" s="64"/>
      <c r="B436" s="65"/>
      <c r="C436" s="65"/>
      <c r="D436" s="65"/>
      <c r="E436" s="65"/>
      <c r="F436" s="64"/>
      <c r="G436" s="64"/>
      <c r="H436" s="66"/>
      <c r="I436" s="65"/>
    </row>
    <row r="437">
      <c r="A437" s="64"/>
      <c r="B437" s="65"/>
      <c r="C437" s="65"/>
      <c r="D437" s="65"/>
      <c r="E437" s="65"/>
      <c r="F437" s="64"/>
      <c r="G437" s="64"/>
      <c r="H437" s="66"/>
      <c r="I437" s="65"/>
    </row>
    <row r="438">
      <c r="A438" s="64"/>
      <c r="B438" s="65"/>
      <c r="C438" s="65"/>
      <c r="D438" s="65"/>
      <c r="E438" s="65"/>
      <c r="F438" s="64"/>
      <c r="G438" s="64"/>
      <c r="H438" s="66"/>
      <c r="I438" s="65"/>
    </row>
    <row r="439">
      <c r="A439" s="64"/>
      <c r="B439" s="65"/>
      <c r="C439" s="65"/>
      <c r="D439" s="65"/>
      <c r="E439" s="65"/>
      <c r="F439" s="64"/>
      <c r="G439" s="64"/>
      <c r="H439" s="66"/>
      <c r="I439" s="65"/>
    </row>
    <row r="440">
      <c r="A440" s="64"/>
      <c r="B440" s="65"/>
      <c r="C440" s="65"/>
      <c r="D440" s="65"/>
      <c r="E440" s="65"/>
      <c r="F440" s="64"/>
      <c r="G440" s="64"/>
      <c r="H440" s="66"/>
      <c r="I440" s="65"/>
    </row>
    <row r="441">
      <c r="A441" s="64"/>
      <c r="B441" s="65"/>
      <c r="C441" s="65"/>
      <c r="D441" s="65"/>
      <c r="E441" s="65"/>
      <c r="F441" s="64"/>
      <c r="G441" s="64"/>
      <c r="H441" s="66"/>
      <c r="I441" s="65"/>
    </row>
    <row r="442">
      <c r="A442" s="64"/>
      <c r="B442" s="65"/>
      <c r="C442" s="65"/>
      <c r="D442" s="65"/>
      <c r="E442" s="65"/>
      <c r="F442" s="64"/>
      <c r="G442" s="64"/>
      <c r="H442" s="66"/>
      <c r="I442" s="65"/>
    </row>
    <row r="443">
      <c r="A443" s="64"/>
      <c r="B443" s="65"/>
      <c r="C443" s="65"/>
      <c r="D443" s="65"/>
      <c r="E443" s="65"/>
      <c r="F443" s="64"/>
      <c r="G443" s="64"/>
      <c r="H443" s="66"/>
      <c r="I443" s="65"/>
    </row>
    <row r="444">
      <c r="A444" s="64"/>
      <c r="B444" s="65"/>
      <c r="C444" s="65"/>
      <c r="D444" s="65"/>
      <c r="E444" s="65"/>
      <c r="F444" s="64"/>
      <c r="G444" s="64"/>
      <c r="H444" s="66"/>
      <c r="I444" s="65"/>
    </row>
    <row r="445">
      <c r="A445" s="64"/>
      <c r="B445" s="65"/>
      <c r="C445" s="65"/>
      <c r="D445" s="65"/>
      <c r="E445" s="65"/>
      <c r="F445" s="64"/>
      <c r="G445" s="64"/>
      <c r="H445" s="66"/>
      <c r="I445" s="65"/>
    </row>
    <row r="446">
      <c r="A446" s="64"/>
      <c r="B446" s="65"/>
      <c r="C446" s="65"/>
      <c r="D446" s="65"/>
      <c r="E446" s="65"/>
      <c r="F446" s="64"/>
      <c r="G446" s="64"/>
      <c r="H446" s="66"/>
      <c r="I446" s="65"/>
    </row>
    <row r="447">
      <c r="A447" s="64"/>
      <c r="B447" s="65"/>
      <c r="C447" s="65"/>
      <c r="D447" s="65"/>
      <c r="E447" s="65"/>
      <c r="F447" s="64"/>
      <c r="G447" s="64"/>
      <c r="H447" s="66"/>
      <c r="I447" s="65"/>
    </row>
    <row r="448">
      <c r="A448" s="64"/>
      <c r="B448" s="65"/>
      <c r="C448" s="65"/>
      <c r="D448" s="65"/>
      <c r="E448" s="65"/>
      <c r="F448" s="64"/>
      <c r="G448" s="64"/>
      <c r="H448" s="66"/>
      <c r="I448" s="65"/>
    </row>
    <row r="449">
      <c r="A449" s="64"/>
      <c r="B449" s="65"/>
      <c r="C449" s="65"/>
      <c r="D449" s="65"/>
      <c r="E449" s="65"/>
      <c r="F449" s="64"/>
      <c r="G449" s="64"/>
      <c r="H449" s="66"/>
      <c r="I449" s="65"/>
    </row>
    <row r="450">
      <c r="A450" s="64"/>
      <c r="B450" s="65"/>
      <c r="C450" s="65"/>
      <c r="D450" s="65"/>
      <c r="E450" s="65"/>
      <c r="F450" s="64"/>
      <c r="G450" s="64"/>
      <c r="H450" s="66"/>
      <c r="I450" s="65"/>
    </row>
    <row r="451">
      <c r="A451" s="64"/>
      <c r="B451" s="65"/>
      <c r="C451" s="65"/>
      <c r="D451" s="65"/>
      <c r="E451" s="65"/>
      <c r="F451" s="64"/>
      <c r="G451" s="64"/>
      <c r="H451" s="66"/>
      <c r="I451" s="65"/>
    </row>
    <row r="452">
      <c r="A452" s="64"/>
      <c r="B452" s="65"/>
      <c r="C452" s="65"/>
      <c r="D452" s="65"/>
      <c r="E452" s="65"/>
      <c r="F452" s="64"/>
      <c r="G452" s="64"/>
      <c r="H452" s="66"/>
      <c r="I452" s="65"/>
    </row>
    <row r="453">
      <c r="A453" s="64"/>
      <c r="B453" s="65"/>
      <c r="C453" s="65"/>
      <c r="D453" s="65"/>
      <c r="E453" s="65"/>
      <c r="F453" s="64"/>
      <c r="G453" s="64"/>
      <c r="H453" s="66"/>
      <c r="I453" s="65"/>
    </row>
    <row r="454">
      <c r="A454" s="64"/>
      <c r="B454" s="65"/>
      <c r="C454" s="65"/>
      <c r="D454" s="65"/>
      <c r="E454" s="65"/>
      <c r="F454" s="64"/>
      <c r="G454" s="64"/>
      <c r="H454" s="66"/>
      <c r="I454" s="65"/>
    </row>
    <row r="455">
      <c r="A455" s="64"/>
      <c r="B455" s="65"/>
      <c r="C455" s="65"/>
      <c r="D455" s="65"/>
      <c r="E455" s="65"/>
      <c r="F455" s="64"/>
      <c r="G455" s="64"/>
      <c r="H455" s="66"/>
      <c r="I455" s="65"/>
    </row>
    <row r="456">
      <c r="A456" s="64"/>
      <c r="B456" s="65"/>
      <c r="C456" s="65"/>
      <c r="D456" s="65"/>
      <c r="E456" s="65"/>
      <c r="F456" s="64"/>
      <c r="G456" s="64"/>
      <c r="H456" s="66"/>
      <c r="I456" s="65"/>
    </row>
    <row r="457">
      <c r="A457" s="64"/>
      <c r="B457" s="65"/>
      <c r="C457" s="65"/>
      <c r="D457" s="65"/>
      <c r="E457" s="65"/>
      <c r="F457" s="64"/>
      <c r="G457" s="64"/>
      <c r="H457" s="66"/>
      <c r="I457" s="65"/>
    </row>
    <row r="458">
      <c r="A458" s="64"/>
      <c r="B458" s="65"/>
      <c r="C458" s="65"/>
      <c r="D458" s="65"/>
      <c r="E458" s="65"/>
      <c r="F458" s="64"/>
      <c r="G458" s="64"/>
      <c r="H458" s="66"/>
      <c r="I458" s="65"/>
    </row>
    <row r="459">
      <c r="A459" s="64"/>
      <c r="B459" s="65"/>
      <c r="C459" s="65"/>
      <c r="D459" s="65"/>
      <c r="E459" s="65"/>
      <c r="F459" s="64"/>
      <c r="G459" s="64"/>
      <c r="H459" s="66"/>
      <c r="I459" s="65"/>
    </row>
    <row r="460">
      <c r="A460" s="64"/>
      <c r="B460" s="65"/>
      <c r="C460" s="65"/>
      <c r="D460" s="65"/>
      <c r="E460" s="65"/>
      <c r="F460" s="64"/>
      <c r="G460" s="64"/>
      <c r="H460" s="66"/>
      <c r="I460" s="65"/>
    </row>
    <row r="461">
      <c r="A461" s="64"/>
      <c r="B461" s="65"/>
      <c r="C461" s="65"/>
      <c r="D461" s="65"/>
      <c r="E461" s="65"/>
      <c r="F461" s="64"/>
      <c r="G461" s="64"/>
      <c r="H461" s="66"/>
      <c r="I461" s="65"/>
    </row>
    <row r="462">
      <c r="A462" s="64"/>
      <c r="B462" s="65"/>
      <c r="C462" s="65"/>
      <c r="D462" s="65"/>
      <c r="E462" s="65"/>
      <c r="F462" s="64"/>
      <c r="G462" s="64"/>
      <c r="H462" s="66"/>
      <c r="I462" s="65"/>
    </row>
    <row r="463">
      <c r="A463" s="64"/>
      <c r="B463" s="65"/>
      <c r="C463" s="65"/>
      <c r="D463" s="65"/>
      <c r="E463" s="65"/>
      <c r="F463" s="64"/>
      <c r="G463" s="64"/>
      <c r="H463" s="66"/>
      <c r="I463" s="65"/>
    </row>
    <row r="464">
      <c r="A464" s="64"/>
      <c r="B464" s="65"/>
      <c r="C464" s="65"/>
      <c r="D464" s="65"/>
      <c r="E464" s="65"/>
      <c r="F464" s="64"/>
      <c r="G464" s="64"/>
      <c r="H464" s="66"/>
      <c r="I464" s="65"/>
    </row>
    <row r="465">
      <c r="A465" s="64"/>
      <c r="B465" s="65"/>
      <c r="C465" s="65"/>
      <c r="D465" s="65"/>
      <c r="E465" s="65"/>
      <c r="F465" s="64"/>
      <c r="G465" s="64"/>
      <c r="H465" s="66"/>
      <c r="I465" s="65"/>
    </row>
    <row r="466">
      <c r="A466" s="64"/>
      <c r="B466" s="65"/>
      <c r="C466" s="65"/>
      <c r="D466" s="65"/>
      <c r="E466" s="65"/>
      <c r="F466" s="64"/>
      <c r="G466" s="64"/>
      <c r="H466" s="66"/>
      <c r="I466" s="65"/>
    </row>
    <row r="467">
      <c r="A467" s="64"/>
      <c r="B467" s="65"/>
      <c r="C467" s="65"/>
      <c r="D467" s="65"/>
      <c r="E467" s="65"/>
      <c r="F467" s="64"/>
      <c r="G467" s="64"/>
      <c r="H467" s="66"/>
      <c r="I467" s="65"/>
    </row>
    <row r="468">
      <c r="A468" s="64"/>
      <c r="B468" s="65"/>
      <c r="C468" s="65"/>
      <c r="D468" s="65"/>
      <c r="E468" s="65"/>
      <c r="F468" s="64"/>
      <c r="G468" s="64"/>
      <c r="H468" s="66"/>
      <c r="I468" s="65"/>
    </row>
    <row r="469">
      <c r="A469" s="64"/>
      <c r="B469" s="65"/>
      <c r="C469" s="65"/>
      <c r="D469" s="65"/>
      <c r="E469" s="65"/>
      <c r="F469" s="64"/>
      <c r="G469" s="64"/>
      <c r="H469" s="66"/>
      <c r="I469" s="65"/>
    </row>
    <row r="470">
      <c r="A470" s="64"/>
      <c r="B470" s="65"/>
      <c r="C470" s="65"/>
      <c r="D470" s="65"/>
      <c r="E470" s="65"/>
      <c r="F470" s="64"/>
      <c r="G470" s="64"/>
      <c r="H470" s="66"/>
      <c r="I470" s="65"/>
    </row>
    <row r="471">
      <c r="A471" s="64"/>
      <c r="B471" s="65"/>
      <c r="C471" s="65"/>
      <c r="D471" s="65"/>
      <c r="E471" s="65"/>
      <c r="F471" s="64"/>
      <c r="G471" s="64"/>
      <c r="H471" s="66"/>
      <c r="I471" s="65"/>
    </row>
    <row r="472">
      <c r="A472" s="64"/>
      <c r="B472" s="65"/>
      <c r="C472" s="65"/>
      <c r="D472" s="65"/>
      <c r="E472" s="65"/>
      <c r="F472" s="64"/>
      <c r="G472" s="64"/>
      <c r="H472" s="66"/>
      <c r="I472" s="65"/>
    </row>
    <row r="473">
      <c r="A473" s="64"/>
      <c r="B473" s="65"/>
      <c r="C473" s="65"/>
      <c r="D473" s="65"/>
      <c r="E473" s="65"/>
      <c r="F473" s="64"/>
      <c r="G473" s="64"/>
      <c r="H473" s="66"/>
      <c r="I473" s="65"/>
    </row>
    <row r="474">
      <c r="A474" s="64"/>
      <c r="B474" s="65"/>
      <c r="C474" s="65"/>
      <c r="D474" s="65"/>
      <c r="E474" s="65"/>
      <c r="F474" s="64"/>
      <c r="G474" s="64"/>
      <c r="H474" s="66"/>
      <c r="I474" s="65"/>
    </row>
    <row r="475">
      <c r="A475" s="64"/>
      <c r="B475" s="65"/>
      <c r="C475" s="65"/>
      <c r="D475" s="65"/>
      <c r="E475" s="65"/>
      <c r="F475" s="64"/>
      <c r="G475" s="64"/>
      <c r="H475" s="66"/>
      <c r="I475" s="65"/>
    </row>
    <row r="476">
      <c r="A476" s="64"/>
      <c r="B476" s="65"/>
      <c r="C476" s="65"/>
      <c r="D476" s="65"/>
      <c r="E476" s="65"/>
      <c r="F476" s="64"/>
      <c r="G476" s="64"/>
      <c r="H476" s="66"/>
      <c r="I476" s="65"/>
    </row>
    <row r="477">
      <c r="A477" s="64"/>
      <c r="B477" s="65"/>
      <c r="C477" s="65"/>
      <c r="D477" s="65"/>
      <c r="E477" s="65"/>
      <c r="F477" s="64"/>
      <c r="G477" s="64"/>
      <c r="H477" s="66"/>
      <c r="I477" s="65"/>
    </row>
    <row r="478">
      <c r="A478" s="64"/>
      <c r="B478" s="65"/>
      <c r="C478" s="65"/>
      <c r="D478" s="65"/>
      <c r="E478" s="65"/>
      <c r="F478" s="64"/>
      <c r="G478" s="64"/>
      <c r="H478" s="66"/>
      <c r="I478" s="65"/>
    </row>
    <row r="479">
      <c r="A479" s="64"/>
      <c r="B479" s="65"/>
      <c r="C479" s="65"/>
      <c r="D479" s="65"/>
      <c r="E479" s="65"/>
      <c r="F479" s="64"/>
      <c r="G479" s="64"/>
      <c r="H479" s="66"/>
      <c r="I479" s="65"/>
    </row>
    <row r="480">
      <c r="A480" s="64"/>
      <c r="B480" s="65"/>
      <c r="C480" s="65"/>
      <c r="D480" s="65"/>
      <c r="E480" s="65"/>
      <c r="F480" s="64"/>
      <c r="G480" s="64"/>
      <c r="H480" s="66"/>
      <c r="I480" s="65"/>
    </row>
    <row r="481">
      <c r="A481" s="64"/>
      <c r="B481" s="65"/>
      <c r="C481" s="65"/>
      <c r="D481" s="65"/>
      <c r="E481" s="65"/>
      <c r="F481" s="64"/>
      <c r="G481" s="64"/>
      <c r="H481" s="66"/>
      <c r="I481" s="65"/>
    </row>
    <row r="482">
      <c r="A482" s="64"/>
      <c r="B482" s="65"/>
      <c r="C482" s="65"/>
      <c r="D482" s="65"/>
      <c r="E482" s="65"/>
      <c r="F482" s="64"/>
      <c r="G482" s="64"/>
      <c r="H482" s="66"/>
      <c r="I482" s="65"/>
    </row>
    <row r="483">
      <c r="A483" s="64"/>
      <c r="B483" s="65"/>
      <c r="C483" s="65"/>
      <c r="D483" s="65"/>
      <c r="E483" s="65"/>
      <c r="F483" s="64"/>
      <c r="G483" s="64"/>
      <c r="H483" s="66"/>
      <c r="I483" s="65"/>
    </row>
    <row r="484">
      <c r="A484" s="64"/>
      <c r="B484" s="65"/>
      <c r="C484" s="65"/>
      <c r="D484" s="65"/>
      <c r="E484" s="65"/>
      <c r="F484" s="64"/>
      <c r="G484" s="64"/>
      <c r="H484" s="66"/>
      <c r="I484" s="65"/>
    </row>
    <row r="485">
      <c r="A485" s="64"/>
      <c r="B485" s="65"/>
      <c r="C485" s="65"/>
      <c r="D485" s="65"/>
      <c r="E485" s="65"/>
      <c r="F485" s="64"/>
      <c r="G485" s="64"/>
      <c r="H485" s="66"/>
      <c r="I485" s="65"/>
    </row>
    <row r="486">
      <c r="A486" s="64"/>
      <c r="B486" s="65"/>
      <c r="C486" s="65"/>
      <c r="D486" s="65"/>
      <c r="E486" s="65"/>
      <c r="F486" s="64"/>
      <c r="G486" s="64"/>
      <c r="H486" s="66"/>
      <c r="I486" s="65"/>
    </row>
    <row r="487">
      <c r="A487" s="64"/>
      <c r="B487" s="65"/>
      <c r="C487" s="65"/>
      <c r="D487" s="65"/>
      <c r="E487" s="65"/>
      <c r="F487" s="64"/>
      <c r="G487" s="64"/>
      <c r="H487" s="66"/>
      <c r="I487" s="65"/>
    </row>
    <row r="488">
      <c r="A488" s="64"/>
      <c r="B488" s="65"/>
      <c r="C488" s="65"/>
      <c r="D488" s="65"/>
      <c r="E488" s="65"/>
      <c r="F488" s="64"/>
      <c r="G488" s="64"/>
      <c r="H488" s="66"/>
      <c r="I488" s="65"/>
    </row>
    <row r="489">
      <c r="A489" s="64"/>
      <c r="B489" s="65"/>
      <c r="C489" s="65"/>
      <c r="D489" s="65"/>
      <c r="E489" s="65"/>
      <c r="F489" s="64"/>
      <c r="G489" s="64"/>
      <c r="H489" s="66"/>
      <c r="I489" s="65"/>
    </row>
    <row r="490">
      <c r="A490" s="64"/>
      <c r="B490" s="65"/>
      <c r="C490" s="65"/>
      <c r="D490" s="65"/>
      <c r="E490" s="65"/>
      <c r="F490" s="64"/>
      <c r="G490" s="64"/>
      <c r="H490" s="66"/>
      <c r="I490" s="65"/>
    </row>
    <row r="491">
      <c r="A491" s="64"/>
      <c r="B491" s="65"/>
      <c r="C491" s="65"/>
      <c r="D491" s="65"/>
      <c r="E491" s="65"/>
      <c r="F491" s="64"/>
      <c r="G491" s="64"/>
      <c r="H491" s="66"/>
      <c r="I491" s="65"/>
    </row>
    <row r="492">
      <c r="A492" s="64"/>
      <c r="B492" s="65"/>
      <c r="C492" s="65"/>
      <c r="D492" s="65"/>
      <c r="E492" s="65"/>
      <c r="F492" s="64"/>
      <c r="G492" s="64"/>
      <c r="H492" s="66"/>
      <c r="I492" s="65"/>
    </row>
    <row r="493">
      <c r="A493" s="64"/>
      <c r="B493" s="65"/>
      <c r="C493" s="65"/>
      <c r="D493" s="65"/>
      <c r="E493" s="65"/>
      <c r="F493" s="64"/>
      <c r="G493" s="64"/>
      <c r="H493" s="66"/>
      <c r="I493" s="65"/>
    </row>
    <row r="494">
      <c r="A494" s="64"/>
      <c r="B494" s="65"/>
      <c r="C494" s="65"/>
      <c r="D494" s="65"/>
      <c r="E494" s="65"/>
      <c r="F494" s="64"/>
      <c r="G494" s="64"/>
      <c r="H494" s="66"/>
      <c r="I494" s="65"/>
    </row>
    <row r="495">
      <c r="A495" s="64"/>
      <c r="B495" s="65"/>
      <c r="C495" s="65"/>
      <c r="D495" s="65"/>
      <c r="E495" s="65"/>
      <c r="F495" s="64"/>
      <c r="G495" s="64"/>
      <c r="H495" s="66"/>
      <c r="I495" s="65"/>
    </row>
    <row r="496">
      <c r="A496" s="64"/>
      <c r="B496" s="65"/>
      <c r="C496" s="65"/>
      <c r="D496" s="65"/>
      <c r="E496" s="65"/>
      <c r="F496" s="64"/>
      <c r="G496" s="64"/>
      <c r="H496" s="66"/>
      <c r="I496" s="65"/>
    </row>
    <row r="497">
      <c r="A497" s="64"/>
      <c r="B497" s="65"/>
      <c r="C497" s="65"/>
      <c r="D497" s="65"/>
      <c r="E497" s="65"/>
      <c r="F497" s="64"/>
      <c r="G497" s="64"/>
      <c r="H497" s="66"/>
      <c r="I497" s="65"/>
    </row>
    <row r="498">
      <c r="A498" s="64"/>
      <c r="B498" s="65"/>
      <c r="C498" s="65"/>
      <c r="D498" s="65"/>
      <c r="E498" s="65"/>
      <c r="F498" s="64"/>
      <c r="G498" s="64"/>
      <c r="H498" s="66"/>
      <c r="I498" s="65"/>
    </row>
    <row r="499">
      <c r="A499" s="64"/>
      <c r="B499" s="65"/>
      <c r="C499" s="65"/>
      <c r="D499" s="65"/>
      <c r="E499" s="65"/>
      <c r="F499" s="64"/>
      <c r="G499" s="64"/>
      <c r="H499" s="66"/>
      <c r="I499" s="65"/>
    </row>
    <row r="500">
      <c r="A500" s="64"/>
      <c r="B500" s="65"/>
      <c r="C500" s="65"/>
      <c r="D500" s="65"/>
      <c r="E500" s="65"/>
      <c r="F500" s="64"/>
      <c r="G500" s="64"/>
      <c r="H500" s="66"/>
      <c r="I500" s="65"/>
    </row>
    <row r="501">
      <c r="A501" s="64"/>
      <c r="B501" s="65"/>
      <c r="C501" s="65"/>
      <c r="D501" s="65"/>
      <c r="E501" s="65"/>
      <c r="F501" s="64"/>
      <c r="G501" s="64"/>
      <c r="H501" s="66"/>
      <c r="I501" s="65"/>
    </row>
    <row r="502">
      <c r="A502" s="64"/>
      <c r="B502" s="65"/>
      <c r="C502" s="65"/>
      <c r="D502" s="65"/>
      <c r="E502" s="65"/>
      <c r="F502" s="64"/>
      <c r="G502" s="64"/>
      <c r="H502" s="66"/>
      <c r="I502" s="65"/>
    </row>
    <row r="503">
      <c r="A503" s="64"/>
      <c r="B503" s="65"/>
      <c r="C503" s="65"/>
      <c r="D503" s="65"/>
      <c r="E503" s="65"/>
      <c r="F503" s="64"/>
      <c r="G503" s="64"/>
      <c r="H503" s="66"/>
      <c r="I503" s="65"/>
    </row>
    <row r="504">
      <c r="A504" s="64"/>
      <c r="B504" s="65"/>
      <c r="C504" s="65"/>
      <c r="D504" s="65"/>
      <c r="E504" s="65"/>
      <c r="F504" s="64"/>
      <c r="G504" s="64"/>
      <c r="H504" s="66"/>
      <c r="I504" s="65"/>
    </row>
    <row r="505">
      <c r="A505" s="64"/>
      <c r="B505" s="65"/>
      <c r="C505" s="65"/>
      <c r="D505" s="65"/>
      <c r="E505" s="65"/>
      <c r="F505" s="64"/>
      <c r="G505" s="64"/>
      <c r="H505" s="66"/>
      <c r="I505" s="65"/>
    </row>
    <row r="506">
      <c r="A506" s="64"/>
      <c r="B506" s="65"/>
      <c r="C506" s="65"/>
      <c r="D506" s="65"/>
      <c r="E506" s="65"/>
      <c r="F506" s="64"/>
      <c r="G506" s="64"/>
      <c r="H506" s="66"/>
      <c r="I506" s="65"/>
    </row>
    <row r="507">
      <c r="A507" s="64"/>
      <c r="B507" s="65"/>
      <c r="C507" s="65"/>
      <c r="D507" s="65"/>
      <c r="E507" s="65"/>
      <c r="F507" s="64"/>
      <c r="G507" s="64"/>
      <c r="H507" s="66"/>
      <c r="I507" s="65"/>
    </row>
    <row r="508">
      <c r="A508" s="64"/>
      <c r="B508" s="65"/>
      <c r="C508" s="65"/>
      <c r="D508" s="65"/>
      <c r="E508" s="65"/>
      <c r="F508" s="64"/>
      <c r="G508" s="64"/>
      <c r="H508" s="66"/>
      <c r="I508" s="65"/>
    </row>
    <row r="509">
      <c r="A509" s="64"/>
      <c r="B509" s="65"/>
      <c r="C509" s="65"/>
      <c r="D509" s="65"/>
      <c r="E509" s="65"/>
      <c r="F509" s="64"/>
      <c r="G509" s="64"/>
      <c r="H509" s="66"/>
      <c r="I509" s="65"/>
    </row>
    <row r="510">
      <c r="A510" s="64"/>
      <c r="B510" s="65"/>
      <c r="C510" s="65"/>
      <c r="D510" s="65"/>
      <c r="E510" s="65"/>
      <c r="F510" s="64"/>
      <c r="G510" s="64"/>
      <c r="H510" s="66"/>
      <c r="I510" s="65"/>
    </row>
    <row r="511">
      <c r="A511" s="64"/>
      <c r="B511" s="65"/>
      <c r="C511" s="65"/>
      <c r="D511" s="65"/>
      <c r="E511" s="65"/>
      <c r="F511" s="64"/>
      <c r="G511" s="64"/>
      <c r="H511" s="66"/>
      <c r="I511" s="65"/>
    </row>
    <row r="512">
      <c r="A512" s="64"/>
      <c r="B512" s="65"/>
      <c r="C512" s="65"/>
      <c r="D512" s="65"/>
      <c r="E512" s="65"/>
      <c r="F512" s="64"/>
      <c r="G512" s="64"/>
      <c r="H512" s="66"/>
      <c r="I512" s="65"/>
    </row>
    <row r="513">
      <c r="A513" s="64"/>
      <c r="B513" s="65"/>
      <c r="C513" s="65"/>
      <c r="D513" s="65"/>
      <c r="E513" s="65"/>
      <c r="F513" s="64"/>
      <c r="G513" s="64"/>
      <c r="H513" s="66"/>
      <c r="I513" s="65"/>
    </row>
    <row r="514">
      <c r="A514" s="64"/>
      <c r="B514" s="65"/>
      <c r="C514" s="65"/>
      <c r="D514" s="65"/>
      <c r="E514" s="65"/>
      <c r="F514" s="64"/>
      <c r="G514" s="64"/>
      <c r="H514" s="66"/>
      <c r="I514" s="65"/>
    </row>
    <row r="515">
      <c r="A515" s="64"/>
      <c r="B515" s="65"/>
      <c r="C515" s="65"/>
      <c r="D515" s="65"/>
      <c r="E515" s="65"/>
      <c r="F515" s="64"/>
      <c r="G515" s="64"/>
      <c r="H515" s="66"/>
      <c r="I515" s="65"/>
    </row>
    <row r="516">
      <c r="A516" s="64"/>
      <c r="B516" s="65"/>
      <c r="C516" s="65"/>
      <c r="D516" s="65"/>
      <c r="E516" s="65"/>
      <c r="F516" s="64"/>
      <c r="G516" s="64"/>
      <c r="H516" s="66"/>
      <c r="I516" s="65"/>
    </row>
    <row r="517">
      <c r="A517" s="64"/>
      <c r="B517" s="65"/>
      <c r="C517" s="65"/>
      <c r="D517" s="65"/>
      <c r="E517" s="65"/>
      <c r="F517" s="64"/>
      <c r="G517" s="64"/>
      <c r="H517" s="66"/>
      <c r="I517" s="65"/>
    </row>
    <row r="518">
      <c r="A518" s="64"/>
      <c r="B518" s="65"/>
      <c r="C518" s="65"/>
      <c r="D518" s="65"/>
      <c r="E518" s="65"/>
      <c r="F518" s="64"/>
      <c r="G518" s="64"/>
      <c r="H518" s="66"/>
      <c r="I518" s="65"/>
    </row>
    <row r="519">
      <c r="A519" s="64"/>
      <c r="B519" s="65"/>
      <c r="C519" s="65"/>
      <c r="D519" s="65"/>
      <c r="E519" s="65"/>
      <c r="F519" s="64"/>
      <c r="G519" s="64"/>
      <c r="H519" s="66"/>
      <c r="I519" s="65"/>
    </row>
    <row r="520">
      <c r="A520" s="64"/>
      <c r="B520" s="65"/>
      <c r="C520" s="65"/>
      <c r="D520" s="65"/>
      <c r="E520" s="65"/>
      <c r="F520" s="64"/>
      <c r="G520" s="64"/>
      <c r="H520" s="66"/>
      <c r="I520" s="65"/>
    </row>
    <row r="521">
      <c r="A521" s="64"/>
      <c r="B521" s="65"/>
      <c r="C521" s="65"/>
      <c r="D521" s="65"/>
      <c r="E521" s="65"/>
      <c r="F521" s="64"/>
      <c r="G521" s="64"/>
      <c r="H521" s="66"/>
      <c r="I521" s="65"/>
    </row>
    <row r="522">
      <c r="A522" s="64"/>
      <c r="B522" s="65"/>
      <c r="C522" s="65"/>
      <c r="D522" s="65"/>
      <c r="E522" s="65"/>
      <c r="F522" s="64"/>
      <c r="G522" s="64"/>
      <c r="H522" s="66"/>
      <c r="I522" s="65"/>
    </row>
    <row r="523">
      <c r="A523" s="64"/>
      <c r="B523" s="65"/>
      <c r="C523" s="65"/>
      <c r="D523" s="65"/>
      <c r="E523" s="65"/>
      <c r="F523" s="64"/>
      <c r="G523" s="64"/>
      <c r="H523" s="66"/>
      <c r="I523" s="65"/>
    </row>
  </sheetData>
  <autoFilter ref="$A$2:$K$124"/>
  <hyperlinks>
    <hyperlink r:id="rId4" ref="H8"/>
    <hyperlink r:id="rId5" ref="H10"/>
    <hyperlink r:id="rId6" ref="H37"/>
    <hyperlink r:id="rId7" ref="H41"/>
    <hyperlink r:id="rId8" ref="H42"/>
    <hyperlink r:id="rId9" ref="H43"/>
    <hyperlink r:id="rId10" ref="H44"/>
    <hyperlink r:id="rId11" ref="H45"/>
    <hyperlink r:id="rId12" ref="H46"/>
    <hyperlink r:id="rId13" ref="H47"/>
    <hyperlink r:id="rId14" ref="H48"/>
    <hyperlink r:id="rId15" ref="H49"/>
    <hyperlink r:id="rId16" ref="H50"/>
    <hyperlink r:id="rId17" ref="H51"/>
    <hyperlink r:id="rId18" ref="H52"/>
    <hyperlink r:id="rId19" ref="H53"/>
    <hyperlink r:id="rId20" ref="H54"/>
    <hyperlink r:id="rId21" ref="H55"/>
    <hyperlink r:id="rId22" ref="H56"/>
    <hyperlink r:id="rId23" ref="H57"/>
    <hyperlink r:id="rId24" ref="H64"/>
    <hyperlink r:id="rId25" ref="H66"/>
    <hyperlink r:id="rId26" ref="H68"/>
    <hyperlink r:id="rId27" ref="H69"/>
    <hyperlink r:id="rId28" ref="H70"/>
    <hyperlink r:id="rId29" ref="H71"/>
    <hyperlink r:id="rId30" ref="H72"/>
    <hyperlink r:id="rId31" ref="H73"/>
    <hyperlink r:id="rId32" ref="H74"/>
    <hyperlink r:id="rId33" ref="H75"/>
    <hyperlink r:id="rId34" ref="H81"/>
    <hyperlink r:id="rId35" ref="H82"/>
    <hyperlink r:id="rId36" ref="H83"/>
    <hyperlink r:id="rId37" ref="H84"/>
    <hyperlink r:id="rId38" ref="H85"/>
    <hyperlink r:id="rId39" ref="H86"/>
    <hyperlink r:id="rId40" ref="H93"/>
    <hyperlink r:id="rId41" ref="H94"/>
    <hyperlink r:id="rId42" ref="H124"/>
  </hyperlinks>
  <drawing r:id="rId43"/>
  <legacy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4.75"/>
    <col customWidth="1" min="2" max="2" width="24.13"/>
    <col customWidth="1" min="3" max="3" width="27.75"/>
    <col customWidth="1" min="4" max="4" width="16.75"/>
    <col customWidth="1" min="5" max="5" width="20.13"/>
    <col customWidth="1" min="6" max="6" width="10.63"/>
    <col customWidth="1" min="7" max="7" width="10.88"/>
    <col customWidth="1" min="8" max="8" width="9.88"/>
    <col customWidth="1" min="9" max="9" width="40.0"/>
    <col customWidth="1" min="10" max="10" width="8.0"/>
  </cols>
  <sheetData>
    <row r="1">
      <c r="A1" s="65"/>
      <c r="B1" s="65"/>
      <c r="C1" s="65"/>
      <c r="D1" s="70" t="s">
        <v>187</v>
      </c>
    </row>
    <row r="2">
      <c r="A2" s="65"/>
      <c r="B2" s="65"/>
      <c r="C2" s="65"/>
      <c r="D2" s="65"/>
      <c r="E2" s="65"/>
      <c r="F2" s="65"/>
      <c r="G2" s="65"/>
      <c r="H2" s="65"/>
      <c r="I2" s="65"/>
      <c r="J2" s="65"/>
    </row>
    <row r="3" ht="37.5" customHeight="1">
      <c r="A3" s="71" t="s">
        <v>188</v>
      </c>
      <c r="B3" s="72" t="s">
        <v>1</v>
      </c>
      <c r="C3" s="72" t="s">
        <v>2</v>
      </c>
      <c r="D3" s="72" t="s">
        <v>189</v>
      </c>
      <c r="E3" s="72" t="s">
        <v>190</v>
      </c>
      <c r="F3" s="72" t="s">
        <v>191</v>
      </c>
      <c r="G3" s="72" t="s">
        <v>192</v>
      </c>
      <c r="H3" s="72" t="s">
        <v>193</v>
      </c>
      <c r="I3" s="72" t="s">
        <v>194</v>
      </c>
      <c r="J3" s="72" t="s">
        <v>195</v>
      </c>
    </row>
    <row r="4">
      <c r="A4" s="73"/>
      <c r="B4" s="67"/>
      <c r="C4" s="67"/>
      <c r="D4" s="67"/>
      <c r="E4" s="67"/>
      <c r="F4" s="73"/>
      <c r="G4" s="74"/>
      <c r="H4" s="73"/>
      <c r="I4" s="75"/>
      <c r="J4" s="65"/>
    </row>
    <row r="5">
      <c r="A5" s="76">
        <f t="array" ref="A5:A49">SEQUENCE(counta(B:B)-1,1)</f>
        <v>1</v>
      </c>
      <c r="B5" s="77" t="s">
        <v>196</v>
      </c>
      <c r="C5" s="77" t="s">
        <v>197</v>
      </c>
      <c r="D5" s="77" t="s">
        <v>198</v>
      </c>
      <c r="E5" s="77" t="s">
        <v>199</v>
      </c>
      <c r="F5" s="78" t="s">
        <v>200</v>
      </c>
      <c r="G5" s="79">
        <v>44572.0</v>
      </c>
      <c r="H5" s="80" t="s">
        <v>31</v>
      </c>
      <c r="I5" s="81" t="s">
        <v>201</v>
      </c>
      <c r="J5" s="82"/>
    </row>
    <row r="6">
      <c r="A6" s="83">
        <v>2.0</v>
      </c>
      <c r="B6" s="77" t="s">
        <v>202</v>
      </c>
      <c r="C6" s="77" t="s">
        <v>203</v>
      </c>
      <c r="D6" s="77" t="s">
        <v>204</v>
      </c>
      <c r="E6" s="77" t="s">
        <v>205</v>
      </c>
      <c r="F6" s="78" t="s">
        <v>206</v>
      </c>
      <c r="G6" s="79">
        <v>44573.0</v>
      </c>
      <c r="H6" s="80" t="s">
        <v>31</v>
      </c>
      <c r="I6" s="77" t="s">
        <v>207</v>
      </c>
      <c r="J6" s="82"/>
    </row>
    <row r="7">
      <c r="A7" s="83">
        <v>3.0</v>
      </c>
      <c r="B7" s="77" t="s">
        <v>202</v>
      </c>
      <c r="C7" s="77" t="s">
        <v>208</v>
      </c>
      <c r="D7" s="77" t="s">
        <v>204</v>
      </c>
      <c r="E7" s="77" t="s">
        <v>205</v>
      </c>
      <c r="F7" s="78" t="s">
        <v>206</v>
      </c>
      <c r="G7" s="79">
        <v>44573.0</v>
      </c>
      <c r="H7" s="80" t="s">
        <v>31</v>
      </c>
      <c r="I7" s="77" t="s">
        <v>207</v>
      </c>
      <c r="J7" s="82"/>
    </row>
    <row r="8">
      <c r="A8" s="83">
        <v>4.0</v>
      </c>
      <c r="B8" s="77" t="s">
        <v>209</v>
      </c>
      <c r="C8" s="77" t="s">
        <v>210</v>
      </c>
      <c r="D8" s="77" t="s">
        <v>204</v>
      </c>
      <c r="E8" s="77" t="s">
        <v>205</v>
      </c>
      <c r="F8" s="78" t="s">
        <v>211</v>
      </c>
      <c r="G8" s="79">
        <v>44573.0</v>
      </c>
      <c r="H8" s="84" t="s">
        <v>31</v>
      </c>
      <c r="I8" s="77" t="s">
        <v>207</v>
      </c>
      <c r="J8" s="82"/>
    </row>
    <row r="9">
      <c r="A9" s="83">
        <v>5.0</v>
      </c>
      <c r="B9" s="77" t="s">
        <v>209</v>
      </c>
      <c r="C9" s="77" t="s">
        <v>212</v>
      </c>
      <c r="D9" s="77" t="s">
        <v>204</v>
      </c>
      <c r="E9" s="77" t="s">
        <v>205</v>
      </c>
      <c r="F9" s="78" t="s">
        <v>211</v>
      </c>
      <c r="G9" s="79">
        <v>44573.0</v>
      </c>
      <c r="H9" s="80" t="s">
        <v>31</v>
      </c>
      <c r="I9" s="77" t="s">
        <v>207</v>
      </c>
      <c r="J9" s="82"/>
    </row>
    <row r="10">
      <c r="A10" s="83">
        <v>6.0</v>
      </c>
      <c r="B10" s="77" t="s">
        <v>213</v>
      </c>
      <c r="C10" s="77" t="s">
        <v>197</v>
      </c>
      <c r="D10" s="77" t="s">
        <v>198</v>
      </c>
      <c r="E10" s="77" t="s">
        <v>214</v>
      </c>
      <c r="F10" s="78" t="s">
        <v>215</v>
      </c>
      <c r="G10" s="79">
        <v>44573.0</v>
      </c>
      <c r="H10" s="80" t="s">
        <v>31</v>
      </c>
      <c r="I10" s="77" t="s">
        <v>216</v>
      </c>
      <c r="J10" s="82"/>
    </row>
    <row r="11">
      <c r="A11" s="83">
        <v>7.0</v>
      </c>
      <c r="B11" s="77" t="s">
        <v>209</v>
      </c>
      <c r="C11" s="77" t="s">
        <v>197</v>
      </c>
      <c r="D11" s="77" t="s">
        <v>198</v>
      </c>
      <c r="E11" s="77" t="s">
        <v>214</v>
      </c>
      <c r="F11" s="78" t="s">
        <v>217</v>
      </c>
      <c r="G11" s="79">
        <v>44573.0</v>
      </c>
      <c r="H11" s="80" t="s">
        <v>31</v>
      </c>
      <c r="I11" s="77" t="s">
        <v>218</v>
      </c>
      <c r="J11" s="82"/>
    </row>
    <row r="12">
      <c r="A12" s="83">
        <v>8.0</v>
      </c>
      <c r="B12" s="77" t="s">
        <v>219</v>
      </c>
      <c r="C12" s="77" t="s">
        <v>197</v>
      </c>
      <c r="D12" s="77" t="s">
        <v>198</v>
      </c>
      <c r="E12" s="77" t="s">
        <v>214</v>
      </c>
      <c r="F12" s="78" t="s">
        <v>220</v>
      </c>
      <c r="G12" s="79">
        <v>44573.0</v>
      </c>
      <c r="H12" s="80" t="s">
        <v>31</v>
      </c>
      <c r="I12" s="77" t="s">
        <v>221</v>
      </c>
      <c r="J12" s="82"/>
    </row>
    <row r="13">
      <c r="A13" s="83">
        <v>9.0</v>
      </c>
      <c r="B13" s="77" t="s">
        <v>222</v>
      </c>
      <c r="C13" s="77" t="s">
        <v>197</v>
      </c>
      <c r="D13" s="77" t="s">
        <v>198</v>
      </c>
      <c r="E13" s="77" t="s">
        <v>214</v>
      </c>
      <c r="F13" s="78" t="s">
        <v>223</v>
      </c>
      <c r="G13" s="79">
        <v>44581.0</v>
      </c>
      <c r="H13" s="80" t="s">
        <v>31</v>
      </c>
      <c r="I13" s="77" t="s">
        <v>224</v>
      </c>
      <c r="J13" s="82"/>
    </row>
    <row r="14">
      <c r="A14" s="83">
        <v>10.0</v>
      </c>
      <c r="B14" s="77" t="s">
        <v>202</v>
      </c>
      <c r="C14" s="77" t="s">
        <v>203</v>
      </c>
      <c r="D14" s="77" t="s">
        <v>204</v>
      </c>
      <c r="E14" s="77" t="s">
        <v>205</v>
      </c>
      <c r="F14" s="78" t="s">
        <v>225</v>
      </c>
      <c r="G14" s="79">
        <v>44581.0</v>
      </c>
      <c r="H14" s="80" t="s">
        <v>31</v>
      </c>
      <c r="I14" s="77" t="s">
        <v>226</v>
      </c>
      <c r="J14" s="82"/>
    </row>
    <row r="15">
      <c r="A15" s="83">
        <v>11.0</v>
      </c>
      <c r="B15" s="77" t="s">
        <v>202</v>
      </c>
      <c r="C15" s="77" t="s">
        <v>208</v>
      </c>
      <c r="D15" s="77" t="s">
        <v>204</v>
      </c>
      <c r="E15" s="77" t="s">
        <v>205</v>
      </c>
      <c r="F15" s="78" t="s">
        <v>225</v>
      </c>
      <c r="G15" s="79">
        <v>44581.0</v>
      </c>
      <c r="H15" s="80" t="s">
        <v>31</v>
      </c>
      <c r="I15" s="77" t="s">
        <v>226</v>
      </c>
      <c r="J15" s="82"/>
    </row>
    <row r="16">
      <c r="A16" s="83">
        <v>12.0</v>
      </c>
      <c r="B16" s="77" t="s">
        <v>209</v>
      </c>
      <c r="C16" s="77" t="s">
        <v>210</v>
      </c>
      <c r="D16" s="77" t="s">
        <v>204</v>
      </c>
      <c r="E16" s="77" t="s">
        <v>205</v>
      </c>
      <c r="F16" s="78" t="s">
        <v>227</v>
      </c>
      <c r="G16" s="79">
        <v>44581.0</v>
      </c>
      <c r="H16" s="84" t="s">
        <v>31</v>
      </c>
      <c r="I16" s="77" t="s">
        <v>226</v>
      </c>
      <c r="J16" s="82"/>
    </row>
    <row r="17">
      <c r="A17" s="83">
        <v>13.0</v>
      </c>
      <c r="B17" s="77" t="s">
        <v>209</v>
      </c>
      <c r="C17" s="77" t="s">
        <v>212</v>
      </c>
      <c r="D17" s="77" t="s">
        <v>204</v>
      </c>
      <c r="E17" s="77" t="s">
        <v>205</v>
      </c>
      <c r="F17" s="78" t="s">
        <v>227</v>
      </c>
      <c r="G17" s="79">
        <v>44581.0</v>
      </c>
      <c r="H17" s="84" t="s">
        <v>31</v>
      </c>
      <c r="I17" s="77" t="s">
        <v>226</v>
      </c>
      <c r="J17" s="82"/>
    </row>
    <row r="18">
      <c r="A18" s="83">
        <v>14.0</v>
      </c>
      <c r="B18" s="77" t="s">
        <v>228</v>
      </c>
      <c r="C18" s="77" t="s">
        <v>229</v>
      </c>
      <c r="D18" s="77" t="s">
        <v>17</v>
      </c>
      <c r="E18" s="77" t="s">
        <v>230</v>
      </c>
      <c r="F18" s="78" t="s">
        <v>231</v>
      </c>
      <c r="G18" s="79">
        <v>44581.0</v>
      </c>
      <c r="H18" s="80" t="s">
        <v>31</v>
      </c>
      <c r="I18" s="77" t="s">
        <v>232</v>
      </c>
      <c r="J18" s="82"/>
    </row>
    <row r="19">
      <c r="A19" s="83">
        <v>15.0</v>
      </c>
      <c r="B19" s="77" t="s">
        <v>233</v>
      </c>
      <c r="C19" s="77" t="s">
        <v>229</v>
      </c>
      <c r="D19" s="77" t="s">
        <v>234</v>
      </c>
      <c r="E19" s="77" t="s">
        <v>235</v>
      </c>
      <c r="F19" s="78" t="s">
        <v>236</v>
      </c>
      <c r="G19" s="79">
        <v>44581.0</v>
      </c>
      <c r="H19" s="80" t="s">
        <v>31</v>
      </c>
      <c r="I19" s="77" t="s">
        <v>237</v>
      </c>
      <c r="J19" s="82"/>
    </row>
    <row r="20">
      <c r="A20" s="83">
        <v>16.0</v>
      </c>
      <c r="B20" s="77" t="s">
        <v>238</v>
      </c>
      <c r="C20" s="77" t="s">
        <v>197</v>
      </c>
      <c r="D20" s="77" t="s">
        <v>198</v>
      </c>
      <c r="E20" s="77" t="s">
        <v>214</v>
      </c>
      <c r="F20" s="78" t="s">
        <v>239</v>
      </c>
      <c r="G20" s="79">
        <v>44600.0</v>
      </c>
      <c r="H20" s="83" t="s">
        <v>31</v>
      </c>
      <c r="I20" s="77" t="s">
        <v>240</v>
      </c>
      <c r="J20" s="82"/>
    </row>
    <row r="21">
      <c r="A21" s="83">
        <v>17.0</v>
      </c>
      <c r="B21" s="77" t="s">
        <v>241</v>
      </c>
      <c r="C21" s="77" t="s">
        <v>242</v>
      </c>
      <c r="D21" s="77" t="s">
        <v>198</v>
      </c>
      <c r="E21" s="77" t="s">
        <v>214</v>
      </c>
      <c r="F21" s="78" t="s">
        <v>243</v>
      </c>
      <c r="G21" s="79">
        <v>44602.0</v>
      </c>
      <c r="H21" s="83" t="s">
        <v>31</v>
      </c>
      <c r="I21" s="77" t="s">
        <v>14</v>
      </c>
      <c r="J21" s="82"/>
    </row>
    <row r="22">
      <c r="A22" s="83">
        <v>18.0</v>
      </c>
      <c r="B22" s="77" t="s">
        <v>241</v>
      </c>
      <c r="C22" s="77" t="s">
        <v>244</v>
      </c>
      <c r="D22" s="77" t="s">
        <v>198</v>
      </c>
      <c r="E22" s="77" t="s">
        <v>214</v>
      </c>
      <c r="F22" s="78" t="s">
        <v>245</v>
      </c>
      <c r="G22" s="79">
        <v>44602.0</v>
      </c>
      <c r="H22" s="83" t="s">
        <v>31</v>
      </c>
      <c r="I22" s="77" t="s">
        <v>14</v>
      </c>
      <c r="J22" s="82"/>
    </row>
    <row r="23">
      <c r="A23" s="83">
        <v>19.0</v>
      </c>
      <c r="B23" s="77" t="s">
        <v>246</v>
      </c>
      <c r="C23" s="77" t="s">
        <v>247</v>
      </c>
      <c r="D23" s="77" t="s">
        <v>198</v>
      </c>
      <c r="E23" s="77" t="s">
        <v>214</v>
      </c>
      <c r="F23" s="78" t="s">
        <v>248</v>
      </c>
      <c r="G23" s="79">
        <v>44604.0</v>
      </c>
      <c r="H23" s="83" t="s">
        <v>31</v>
      </c>
      <c r="I23" s="77" t="s">
        <v>14</v>
      </c>
      <c r="J23" s="82"/>
    </row>
    <row r="24">
      <c r="A24" s="83">
        <v>20.0</v>
      </c>
      <c r="B24" s="77" t="s">
        <v>202</v>
      </c>
      <c r="C24" s="77" t="s">
        <v>229</v>
      </c>
      <c r="D24" s="77" t="s">
        <v>17</v>
      </c>
      <c r="E24" s="77" t="s">
        <v>230</v>
      </c>
      <c r="F24" s="78" t="s">
        <v>249</v>
      </c>
      <c r="G24" s="79">
        <v>44608.0</v>
      </c>
      <c r="H24" s="83" t="s">
        <v>31</v>
      </c>
      <c r="I24" s="77" t="s">
        <v>250</v>
      </c>
      <c r="J24" s="82"/>
    </row>
    <row r="25">
      <c r="A25" s="83">
        <v>21.0</v>
      </c>
      <c r="B25" s="77" t="s">
        <v>251</v>
      </c>
      <c r="C25" s="77" t="s">
        <v>197</v>
      </c>
      <c r="D25" s="77" t="s">
        <v>198</v>
      </c>
      <c r="E25" s="77" t="s">
        <v>235</v>
      </c>
      <c r="F25" s="78" t="s">
        <v>252</v>
      </c>
      <c r="G25" s="79">
        <v>44608.0</v>
      </c>
      <c r="H25" s="83" t="s">
        <v>31</v>
      </c>
      <c r="I25" s="77" t="s">
        <v>253</v>
      </c>
      <c r="J25" s="82"/>
    </row>
    <row r="26">
      <c r="A26" s="83">
        <v>22.0</v>
      </c>
      <c r="B26" s="77" t="s">
        <v>251</v>
      </c>
      <c r="C26" s="77" t="s">
        <v>254</v>
      </c>
      <c r="D26" s="77" t="s">
        <v>17</v>
      </c>
      <c r="E26" s="77" t="s">
        <v>255</v>
      </c>
      <c r="F26" s="83"/>
      <c r="G26" s="85"/>
      <c r="H26" s="85"/>
      <c r="I26" s="77" t="s">
        <v>256</v>
      </c>
      <c r="J26" s="82"/>
    </row>
    <row r="27">
      <c r="A27" s="83">
        <v>23.0</v>
      </c>
      <c r="B27" s="77" t="s">
        <v>257</v>
      </c>
      <c r="C27" s="77" t="s">
        <v>258</v>
      </c>
      <c r="D27" s="77" t="s">
        <v>198</v>
      </c>
      <c r="E27" s="77" t="s">
        <v>214</v>
      </c>
      <c r="F27" s="78" t="s">
        <v>259</v>
      </c>
      <c r="G27" s="79">
        <v>43885.0</v>
      </c>
      <c r="H27" s="83" t="s">
        <v>31</v>
      </c>
      <c r="I27" s="77" t="s">
        <v>260</v>
      </c>
      <c r="J27" s="82"/>
    </row>
    <row r="28">
      <c r="A28" s="83">
        <v>24.0</v>
      </c>
      <c r="B28" s="77" t="s">
        <v>261</v>
      </c>
      <c r="C28" s="77" t="s">
        <v>262</v>
      </c>
      <c r="D28" s="77" t="s">
        <v>198</v>
      </c>
      <c r="E28" s="77" t="s">
        <v>214</v>
      </c>
      <c r="F28" s="78" t="s">
        <v>263</v>
      </c>
      <c r="G28" s="79">
        <v>44616.0</v>
      </c>
      <c r="H28" s="83" t="s">
        <v>31</v>
      </c>
      <c r="I28" s="77" t="s">
        <v>260</v>
      </c>
      <c r="J28" s="82"/>
    </row>
    <row r="29">
      <c r="A29" s="83">
        <v>25.0</v>
      </c>
      <c r="B29" s="77" t="s">
        <v>264</v>
      </c>
      <c r="C29" s="77" t="s">
        <v>197</v>
      </c>
      <c r="D29" s="77" t="s">
        <v>198</v>
      </c>
      <c r="E29" s="77" t="s">
        <v>214</v>
      </c>
      <c r="F29" s="78" t="s">
        <v>265</v>
      </c>
      <c r="G29" s="79">
        <v>44621.0</v>
      </c>
      <c r="H29" s="83" t="s">
        <v>31</v>
      </c>
      <c r="I29" s="77" t="s">
        <v>266</v>
      </c>
      <c r="J29" s="82"/>
    </row>
    <row r="30">
      <c r="A30" s="83">
        <v>26.0</v>
      </c>
      <c r="B30" s="77" t="s">
        <v>267</v>
      </c>
      <c r="C30" s="77" t="s">
        <v>197</v>
      </c>
      <c r="D30" s="77" t="s">
        <v>198</v>
      </c>
      <c r="E30" s="77" t="s">
        <v>214</v>
      </c>
      <c r="F30" s="78" t="s">
        <v>268</v>
      </c>
      <c r="G30" s="79">
        <v>44621.0</v>
      </c>
      <c r="H30" s="83" t="s">
        <v>31</v>
      </c>
      <c r="I30" s="77" t="s">
        <v>266</v>
      </c>
      <c r="J30" s="82"/>
    </row>
    <row r="31">
      <c r="A31" s="83">
        <v>27.0</v>
      </c>
      <c r="B31" s="77" t="s">
        <v>269</v>
      </c>
      <c r="C31" s="77" t="s">
        <v>229</v>
      </c>
      <c r="D31" s="77" t="s">
        <v>17</v>
      </c>
      <c r="E31" s="77" t="s">
        <v>230</v>
      </c>
      <c r="F31" s="78" t="s">
        <v>270</v>
      </c>
      <c r="G31" s="79">
        <v>44627.0</v>
      </c>
      <c r="H31" s="83" t="s">
        <v>31</v>
      </c>
      <c r="I31" s="77" t="s">
        <v>271</v>
      </c>
      <c r="J31" s="82"/>
    </row>
    <row r="32">
      <c r="A32" s="83">
        <v>28.0</v>
      </c>
      <c r="B32" s="77" t="s">
        <v>272</v>
      </c>
      <c r="C32" s="77" t="s">
        <v>197</v>
      </c>
      <c r="D32" s="77" t="s">
        <v>198</v>
      </c>
      <c r="E32" s="77" t="s">
        <v>214</v>
      </c>
      <c r="F32" s="78" t="s">
        <v>273</v>
      </c>
      <c r="G32" s="79">
        <v>44628.0</v>
      </c>
      <c r="H32" s="83" t="s">
        <v>31</v>
      </c>
      <c r="I32" s="77" t="s">
        <v>266</v>
      </c>
      <c r="J32" s="82"/>
    </row>
    <row r="33">
      <c r="A33" s="83">
        <v>29.0</v>
      </c>
      <c r="B33" s="77" t="s">
        <v>274</v>
      </c>
      <c r="C33" s="77" t="s">
        <v>258</v>
      </c>
      <c r="D33" s="77" t="s">
        <v>198</v>
      </c>
      <c r="E33" s="77" t="s">
        <v>214</v>
      </c>
      <c r="F33" s="78" t="s">
        <v>275</v>
      </c>
      <c r="G33" s="79">
        <v>44630.0</v>
      </c>
      <c r="H33" s="83" t="s">
        <v>31</v>
      </c>
      <c r="I33" s="77" t="s">
        <v>260</v>
      </c>
      <c r="J33" s="82"/>
    </row>
    <row r="34">
      <c r="A34" s="83">
        <v>30.0</v>
      </c>
      <c r="B34" s="77" t="s">
        <v>261</v>
      </c>
      <c r="C34" s="77" t="s">
        <v>276</v>
      </c>
      <c r="D34" s="77" t="s">
        <v>198</v>
      </c>
      <c r="E34" s="77" t="s">
        <v>214</v>
      </c>
      <c r="F34" s="78" t="s">
        <v>277</v>
      </c>
      <c r="G34" s="79">
        <v>44630.0</v>
      </c>
      <c r="H34" s="83" t="s">
        <v>31</v>
      </c>
      <c r="I34" s="77" t="s">
        <v>260</v>
      </c>
      <c r="J34" s="82"/>
    </row>
    <row r="35">
      <c r="A35" s="83">
        <v>31.0</v>
      </c>
      <c r="B35" s="77" t="s">
        <v>261</v>
      </c>
      <c r="C35" s="77" t="s">
        <v>278</v>
      </c>
      <c r="D35" s="77" t="s">
        <v>279</v>
      </c>
      <c r="E35" s="77" t="s">
        <v>214</v>
      </c>
      <c r="F35" s="78" t="s">
        <v>280</v>
      </c>
      <c r="G35" s="79">
        <v>44647.0</v>
      </c>
      <c r="H35" s="83" t="s">
        <v>31</v>
      </c>
      <c r="I35" s="77" t="s">
        <v>260</v>
      </c>
      <c r="J35" s="82"/>
    </row>
    <row r="36">
      <c r="A36" s="83">
        <v>32.0</v>
      </c>
      <c r="B36" s="77" t="s">
        <v>228</v>
      </c>
      <c r="C36" s="77" t="s">
        <v>278</v>
      </c>
      <c r="D36" s="77" t="s">
        <v>198</v>
      </c>
      <c r="E36" s="77" t="s">
        <v>214</v>
      </c>
      <c r="F36" s="78" t="s">
        <v>281</v>
      </c>
      <c r="G36" s="79">
        <v>44656.0</v>
      </c>
      <c r="H36" s="83" t="s">
        <v>31</v>
      </c>
      <c r="I36" s="77" t="s">
        <v>260</v>
      </c>
      <c r="J36" s="82"/>
    </row>
    <row r="37">
      <c r="A37" s="85">
        <v>33.0</v>
      </c>
      <c r="B37" s="77" t="s">
        <v>228</v>
      </c>
      <c r="C37" s="77" t="s">
        <v>276</v>
      </c>
      <c r="D37" s="77" t="s">
        <v>198</v>
      </c>
      <c r="E37" s="77" t="s">
        <v>214</v>
      </c>
      <c r="F37" s="78" t="s">
        <v>281</v>
      </c>
      <c r="G37" s="79">
        <v>44656.0</v>
      </c>
      <c r="H37" s="83" t="s">
        <v>31</v>
      </c>
      <c r="I37" s="77" t="s">
        <v>260</v>
      </c>
      <c r="J37" s="82"/>
    </row>
    <row r="38">
      <c r="A38" s="85">
        <v>34.0</v>
      </c>
      <c r="B38" s="77" t="s">
        <v>282</v>
      </c>
      <c r="C38" s="77" t="s">
        <v>283</v>
      </c>
      <c r="D38" s="77" t="s">
        <v>198</v>
      </c>
      <c r="E38" s="77" t="s">
        <v>214</v>
      </c>
      <c r="F38" s="78" t="s">
        <v>284</v>
      </c>
      <c r="G38" s="79">
        <v>44656.0</v>
      </c>
      <c r="H38" s="83" t="s">
        <v>31</v>
      </c>
      <c r="I38" s="77" t="s">
        <v>285</v>
      </c>
      <c r="J38" s="82"/>
    </row>
    <row r="39">
      <c r="A39" s="85">
        <v>35.0</v>
      </c>
      <c r="B39" s="77" t="s">
        <v>282</v>
      </c>
      <c r="C39" s="77" t="s">
        <v>286</v>
      </c>
      <c r="D39" s="77" t="s">
        <v>198</v>
      </c>
      <c r="E39" s="77" t="s">
        <v>214</v>
      </c>
      <c r="F39" s="78" t="s">
        <v>287</v>
      </c>
      <c r="G39" s="79">
        <v>44656.0</v>
      </c>
      <c r="H39" s="83" t="s">
        <v>31</v>
      </c>
      <c r="I39" s="77" t="s">
        <v>285</v>
      </c>
      <c r="J39" s="82"/>
    </row>
    <row r="40">
      <c r="A40" s="85">
        <v>36.0</v>
      </c>
      <c r="B40" s="77" t="s">
        <v>288</v>
      </c>
      <c r="C40" s="77" t="s">
        <v>210</v>
      </c>
      <c r="D40" s="82"/>
      <c r="E40" s="82"/>
      <c r="F40" s="85"/>
      <c r="G40" s="85"/>
      <c r="H40" s="85"/>
      <c r="I40" s="82"/>
      <c r="J40" s="82"/>
    </row>
    <row r="41">
      <c r="A41" s="85">
        <v>37.0</v>
      </c>
      <c r="B41" s="77" t="s">
        <v>288</v>
      </c>
      <c r="C41" s="77" t="s">
        <v>212</v>
      </c>
      <c r="D41" s="82"/>
      <c r="E41" s="82"/>
      <c r="F41" s="85"/>
      <c r="G41" s="85"/>
      <c r="H41" s="85"/>
      <c r="I41" s="82"/>
      <c r="J41" s="82"/>
    </row>
    <row r="42">
      <c r="A42" s="85">
        <v>38.0</v>
      </c>
      <c r="B42" s="77" t="s">
        <v>202</v>
      </c>
      <c r="C42" s="77" t="s">
        <v>289</v>
      </c>
      <c r="D42" s="82"/>
      <c r="E42" s="82"/>
      <c r="F42" s="85"/>
      <c r="G42" s="85"/>
      <c r="H42" s="85"/>
      <c r="I42" s="82"/>
      <c r="J42" s="82"/>
    </row>
    <row r="43">
      <c r="A43" s="85">
        <v>39.0</v>
      </c>
      <c r="B43" s="77" t="s">
        <v>202</v>
      </c>
      <c r="C43" s="77" t="s">
        <v>290</v>
      </c>
      <c r="D43" s="82"/>
      <c r="E43" s="82"/>
      <c r="F43" s="85"/>
      <c r="G43" s="85"/>
      <c r="H43" s="85"/>
      <c r="I43" s="82"/>
      <c r="J43" s="82"/>
    </row>
    <row r="44">
      <c r="A44" s="85">
        <v>40.0</v>
      </c>
      <c r="B44" s="77" t="s">
        <v>272</v>
      </c>
      <c r="C44" s="77" t="s">
        <v>291</v>
      </c>
      <c r="D44" s="77" t="s">
        <v>279</v>
      </c>
      <c r="E44" s="77" t="s">
        <v>235</v>
      </c>
      <c r="F44" s="78" t="s">
        <v>292</v>
      </c>
      <c r="G44" s="79">
        <v>44693.0</v>
      </c>
      <c r="H44" s="83" t="s">
        <v>31</v>
      </c>
      <c r="I44" s="77" t="s">
        <v>293</v>
      </c>
      <c r="J44" s="82"/>
    </row>
    <row r="45">
      <c r="A45" s="85">
        <v>41.0</v>
      </c>
      <c r="B45" s="77" t="s">
        <v>269</v>
      </c>
      <c r="C45" s="77" t="s">
        <v>294</v>
      </c>
      <c r="D45" s="77" t="s">
        <v>279</v>
      </c>
      <c r="E45" s="77" t="s">
        <v>235</v>
      </c>
      <c r="F45" s="78" t="s">
        <v>295</v>
      </c>
      <c r="G45" s="79">
        <v>44693.0</v>
      </c>
      <c r="H45" s="83" t="s">
        <v>31</v>
      </c>
      <c r="I45" s="77" t="s">
        <v>293</v>
      </c>
      <c r="J45" s="82"/>
    </row>
    <row r="46">
      <c r="A46" s="83">
        <v>42.0</v>
      </c>
      <c r="B46" s="77" t="s">
        <v>261</v>
      </c>
      <c r="C46" s="77" t="s">
        <v>197</v>
      </c>
      <c r="D46" s="77" t="s">
        <v>198</v>
      </c>
      <c r="E46" s="77" t="s">
        <v>235</v>
      </c>
      <c r="F46" s="78" t="s">
        <v>296</v>
      </c>
      <c r="G46" s="79">
        <v>44700.0</v>
      </c>
      <c r="H46" s="83" t="s">
        <v>31</v>
      </c>
      <c r="I46" s="77" t="s">
        <v>297</v>
      </c>
      <c r="J46" s="82"/>
    </row>
    <row r="47">
      <c r="A47" s="85">
        <v>43.0</v>
      </c>
      <c r="B47" s="77" t="s">
        <v>261</v>
      </c>
      <c r="C47" s="77" t="s">
        <v>254</v>
      </c>
      <c r="D47" s="77" t="s">
        <v>17</v>
      </c>
      <c r="E47" s="77" t="s">
        <v>235</v>
      </c>
      <c r="F47" s="78" t="s">
        <v>298</v>
      </c>
      <c r="G47" s="79">
        <v>44712.0</v>
      </c>
      <c r="H47" s="83" t="s">
        <v>31</v>
      </c>
      <c r="I47" s="77" t="s">
        <v>293</v>
      </c>
      <c r="J47" s="82"/>
    </row>
    <row r="48">
      <c r="A48" s="85">
        <v>44.0</v>
      </c>
      <c r="B48" s="77" t="s">
        <v>261</v>
      </c>
      <c r="C48" s="77" t="s">
        <v>229</v>
      </c>
      <c r="D48" s="77" t="s">
        <v>234</v>
      </c>
      <c r="E48" s="77" t="s">
        <v>235</v>
      </c>
      <c r="F48" s="78" t="s">
        <v>299</v>
      </c>
      <c r="G48" s="79">
        <v>44718.0</v>
      </c>
      <c r="H48" s="83" t="s">
        <v>31</v>
      </c>
      <c r="I48" s="77" t="s">
        <v>300</v>
      </c>
      <c r="J48" s="82"/>
    </row>
    <row r="49">
      <c r="A49" s="85">
        <v>45.0</v>
      </c>
      <c r="B49" s="77" t="s">
        <v>251</v>
      </c>
      <c r="C49" s="77" t="s">
        <v>301</v>
      </c>
      <c r="D49" s="77" t="s">
        <v>279</v>
      </c>
      <c r="E49" s="77" t="s">
        <v>235</v>
      </c>
      <c r="F49" s="78" t="s">
        <v>302</v>
      </c>
      <c r="G49" s="79">
        <v>44758.0</v>
      </c>
      <c r="H49" s="83" t="s">
        <v>31</v>
      </c>
      <c r="I49" s="77" t="s">
        <v>303</v>
      </c>
      <c r="J49" s="82"/>
    </row>
    <row r="50">
      <c r="A50" s="85"/>
      <c r="B50" s="82"/>
      <c r="C50" s="82"/>
      <c r="D50" s="82"/>
      <c r="E50" s="82"/>
      <c r="F50" s="85"/>
      <c r="G50" s="85"/>
      <c r="H50" s="85"/>
      <c r="I50" s="82"/>
      <c r="J50" s="82"/>
    </row>
    <row r="51">
      <c r="A51" s="85"/>
      <c r="B51" s="82"/>
      <c r="C51" s="82"/>
      <c r="D51" s="82"/>
      <c r="E51" s="82"/>
      <c r="F51" s="85"/>
      <c r="G51" s="85"/>
      <c r="H51" s="85"/>
      <c r="I51" s="82"/>
      <c r="J51" s="82"/>
    </row>
    <row r="52">
      <c r="A52" s="85"/>
      <c r="B52" s="82"/>
      <c r="C52" s="82"/>
      <c r="D52" s="82"/>
      <c r="E52" s="82"/>
      <c r="F52" s="85"/>
      <c r="G52" s="85"/>
      <c r="H52" s="85"/>
      <c r="I52" s="82"/>
      <c r="J52" s="82"/>
    </row>
    <row r="53">
      <c r="A53" s="85"/>
      <c r="B53" s="82"/>
      <c r="C53" s="82"/>
      <c r="D53" s="82"/>
      <c r="E53" s="82"/>
      <c r="F53" s="85"/>
      <c r="G53" s="85"/>
      <c r="H53" s="85"/>
      <c r="I53" s="82"/>
      <c r="J53" s="82"/>
    </row>
    <row r="54">
      <c r="A54" s="85"/>
      <c r="B54" s="82"/>
      <c r="C54" s="82"/>
      <c r="D54" s="82"/>
      <c r="E54" s="82"/>
      <c r="F54" s="85"/>
      <c r="G54" s="85"/>
      <c r="H54" s="85"/>
      <c r="I54" s="82"/>
      <c r="J54" s="82"/>
    </row>
    <row r="55">
      <c r="A55" s="85"/>
      <c r="B55" s="82"/>
      <c r="C55" s="82"/>
      <c r="D55" s="82"/>
      <c r="E55" s="82"/>
      <c r="F55" s="85"/>
      <c r="G55" s="85"/>
      <c r="H55" s="85"/>
      <c r="I55" s="82"/>
      <c r="J55" s="82"/>
    </row>
    <row r="56">
      <c r="A56" s="85"/>
      <c r="B56" s="82"/>
      <c r="C56" s="82"/>
      <c r="D56" s="82"/>
      <c r="E56" s="82"/>
      <c r="F56" s="85"/>
      <c r="G56" s="85"/>
      <c r="H56" s="85"/>
      <c r="I56" s="82"/>
      <c r="J56" s="82"/>
    </row>
    <row r="57">
      <c r="A57" s="85"/>
      <c r="B57" s="82"/>
      <c r="C57" s="82"/>
      <c r="D57" s="82"/>
      <c r="E57" s="82"/>
      <c r="F57" s="85"/>
      <c r="G57" s="85"/>
      <c r="H57" s="85"/>
      <c r="I57" s="82"/>
      <c r="J57" s="82"/>
    </row>
    <row r="58">
      <c r="A58" s="85"/>
      <c r="B58" s="82"/>
      <c r="C58" s="82"/>
      <c r="D58" s="82"/>
      <c r="E58" s="82"/>
      <c r="F58" s="85"/>
      <c r="G58" s="85"/>
      <c r="H58" s="85"/>
      <c r="I58" s="82"/>
      <c r="J58" s="82"/>
    </row>
    <row r="59">
      <c r="A59" s="85"/>
      <c r="B59" s="82"/>
      <c r="C59" s="82"/>
      <c r="D59" s="82"/>
      <c r="E59" s="82"/>
      <c r="F59" s="85"/>
      <c r="G59" s="85"/>
      <c r="H59" s="85"/>
      <c r="I59" s="82"/>
      <c r="J59" s="82"/>
    </row>
    <row r="60">
      <c r="A60" s="85"/>
      <c r="B60" s="82"/>
      <c r="C60" s="82"/>
      <c r="D60" s="82"/>
      <c r="E60" s="82"/>
      <c r="F60" s="85"/>
      <c r="G60" s="85"/>
      <c r="H60" s="85"/>
      <c r="I60" s="82"/>
      <c r="J60" s="82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</row>
    <row r="100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</row>
  </sheetData>
  <autoFilter ref="$A$4:$J$49"/>
  <customSheetViews>
    <customSheetView guid="{702A14C5-304D-40D0-8B4D-3F24FE2109FE}" filter="1" showAutoFilter="1">
      <autoFilter ref="$A$4:$J$49"/>
    </customSheetView>
  </customSheetViews>
  <mergeCells count="1">
    <mergeCell ref="D1:J1"/>
  </mergeCells>
  <dataValidations>
    <dataValidation type="list" allowBlank="1" sqref="C5:C60">
      <formula1>BAY</formula1>
    </dataValidation>
    <dataValidation type="list" allowBlank="1" sqref="B5:B60">
      <formula1>GI</formula1>
    </dataValidation>
    <dataValidation type="list" allowBlank="1" sqref="D5:D60">
      <formula1>PROTEKSI</formula1>
    </dataValidation>
    <dataValidation type="list" allowBlank="1" sqref="E5:E60">
      <formula1>PEMOHON</formula1>
    </dataValidation>
  </dataValidations>
  <hyperlinks>
    <hyperlink r:id="rId1" ref="H5"/>
    <hyperlink r:id="rId2" ref="H6"/>
    <hyperlink r:id="rId3" ref="H7"/>
    <hyperlink r:id="rId4" ref="H8"/>
    <hyperlink r:id="rId5" ref="H9"/>
    <hyperlink r:id="rId6" ref="H10"/>
    <hyperlink r:id="rId7" ref="H11"/>
    <hyperlink r:id="rId8" ref="H12"/>
    <hyperlink r:id="rId9" ref="H13"/>
    <hyperlink r:id="rId10" ref="H14"/>
    <hyperlink r:id="rId11" ref="H15"/>
    <hyperlink r:id="rId12" ref="H16"/>
    <hyperlink r:id="rId13" ref="H17"/>
    <hyperlink r:id="rId14" ref="H18"/>
    <hyperlink r:id="rId15" ref="H19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4.75"/>
    <col customWidth="1" min="2" max="2" width="24.13"/>
    <col customWidth="1" min="3" max="3" width="27.75"/>
    <col customWidth="1" min="4" max="4" width="16.75"/>
    <col customWidth="1" min="5" max="5" width="20.13"/>
    <col customWidth="1" min="6" max="6" width="10.63"/>
    <col customWidth="1" min="7" max="7" width="10.88"/>
    <col customWidth="1" min="8" max="8" width="9.88"/>
    <col customWidth="1" min="9" max="9" width="40.0"/>
    <col customWidth="1" min="10" max="10" width="8.0"/>
  </cols>
  <sheetData>
    <row r="1">
      <c r="A1" s="65"/>
      <c r="B1" s="65"/>
      <c r="C1" s="65"/>
      <c r="D1" s="70" t="s">
        <v>187</v>
      </c>
    </row>
    <row r="2">
      <c r="A2" s="65"/>
      <c r="B2" s="65"/>
      <c r="C2" s="65"/>
      <c r="D2" s="65"/>
      <c r="E2" s="65"/>
      <c r="F2" s="65"/>
      <c r="G2" s="65"/>
      <c r="H2" s="65"/>
      <c r="I2" s="65"/>
      <c r="J2" s="65"/>
    </row>
    <row r="3" ht="37.5" customHeight="1">
      <c r="A3" s="71" t="s">
        <v>188</v>
      </c>
      <c r="B3" s="72" t="s">
        <v>1</v>
      </c>
      <c r="C3" s="72" t="s">
        <v>2</v>
      </c>
      <c r="D3" s="72" t="s">
        <v>189</v>
      </c>
      <c r="E3" s="72" t="s">
        <v>190</v>
      </c>
      <c r="F3" s="72" t="s">
        <v>191</v>
      </c>
      <c r="G3" s="72" t="s">
        <v>192</v>
      </c>
      <c r="H3" s="72" t="s">
        <v>193</v>
      </c>
      <c r="I3" s="72" t="s">
        <v>194</v>
      </c>
      <c r="J3" s="72" t="s">
        <v>195</v>
      </c>
    </row>
    <row r="4">
      <c r="A4" s="73"/>
      <c r="B4" s="67"/>
      <c r="C4" s="67"/>
      <c r="D4" s="67"/>
      <c r="E4" s="67"/>
      <c r="F4" s="73"/>
      <c r="G4" s="74"/>
      <c r="H4" s="73"/>
      <c r="I4" s="75"/>
      <c r="J4" s="65"/>
    </row>
    <row r="5">
      <c r="A5" s="83">
        <v>1.0</v>
      </c>
      <c r="B5" s="77" t="s">
        <v>251</v>
      </c>
      <c r="C5" s="77" t="s">
        <v>304</v>
      </c>
      <c r="D5" s="77" t="s">
        <v>305</v>
      </c>
      <c r="E5" s="77" t="s">
        <v>235</v>
      </c>
      <c r="F5" s="78" t="s">
        <v>200</v>
      </c>
      <c r="G5" s="79">
        <v>44929.0</v>
      </c>
      <c r="H5" s="80"/>
      <c r="I5" s="81" t="s">
        <v>306</v>
      </c>
      <c r="J5" s="82"/>
    </row>
    <row r="6">
      <c r="A6" s="83">
        <v>2.0</v>
      </c>
      <c r="B6" s="77" t="s">
        <v>251</v>
      </c>
      <c r="C6" s="77" t="s">
        <v>307</v>
      </c>
      <c r="D6" s="77" t="s">
        <v>204</v>
      </c>
      <c r="E6" s="77" t="s">
        <v>235</v>
      </c>
      <c r="F6" s="78" t="s">
        <v>206</v>
      </c>
      <c r="G6" s="79">
        <v>44991.0</v>
      </c>
      <c r="H6" s="80"/>
      <c r="I6" s="77" t="s">
        <v>308</v>
      </c>
      <c r="J6" s="82"/>
    </row>
    <row r="7">
      <c r="A7" s="83">
        <v>3.0</v>
      </c>
      <c r="B7" s="77" t="s">
        <v>309</v>
      </c>
      <c r="C7" s="77" t="s">
        <v>197</v>
      </c>
      <c r="D7" s="77" t="s">
        <v>198</v>
      </c>
      <c r="E7" s="77" t="s">
        <v>199</v>
      </c>
      <c r="F7" s="78" t="s">
        <v>211</v>
      </c>
      <c r="G7" s="79">
        <v>44999.0</v>
      </c>
      <c r="H7" s="80"/>
      <c r="I7" s="77" t="s">
        <v>310</v>
      </c>
      <c r="J7" s="82"/>
    </row>
    <row r="8">
      <c r="A8" s="83">
        <v>4.0</v>
      </c>
      <c r="B8" s="77" t="s">
        <v>196</v>
      </c>
      <c r="C8" s="77" t="s">
        <v>311</v>
      </c>
      <c r="D8" s="77" t="s">
        <v>312</v>
      </c>
      <c r="E8" s="77" t="s">
        <v>199</v>
      </c>
      <c r="F8" s="78" t="s">
        <v>215</v>
      </c>
      <c r="G8" s="79">
        <v>45027.0</v>
      </c>
      <c r="H8" s="80"/>
      <c r="I8" s="77" t="s">
        <v>313</v>
      </c>
      <c r="J8" s="82"/>
    </row>
    <row r="9">
      <c r="A9" s="83">
        <v>5.0</v>
      </c>
      <c r="B9" s="77" t="s">
        <v>267</v>
      </c>
      <c r="C9" s="77" t="s">
        <v>314</v>
      </c>
      <c r="D9" s="77" t="s">
        <v>204</v>
      </c>
      <c r="E9" s="77" t="s">
        <v>214</v>
      </c>
      <c r="F9" s="78" t="s">
        <v>217</v>
      </c>
      <c r="G9" s="79">
        <v>45055.0</v>
      </c>
      <c r="H9" s="80"/>
      <c r="I9" s="77" t="s">
        <v>315</v>
      </c>
      <c r="J9" s="82"/>
    </row>
    <row r="10">
      <c r="A10" s="83">
        <v>6.0</v>
      </c>
      <c r="B10" s="77" t="s">
        <v>219</v>
      </c>
      <c r="C10" s="77" t="s">
        <v>316</v>
      </c>
      <c r="D10" s="77" t="s">
        <v>65</v>
      </c>
      <c r="E10" s="77" t="s">
        <v>230</v>
      </c>
      <c r="F10" s="78" t="s">
        <v>220</v>
      </c>
      <c r="G10" s="79">
        <v>45061.0</v>
      </c>
      <c r="H10" s="80"/>
      <c r="I10" s="77" t="s">
        <v>317</v>
      </c>
      <c r="J10" s="82"/>
    </row>
    <row r="11">
      <c r="A11" s="83">
        <v>7.0</v>
      </c>
      <c r="B11" s="77" t="s">
        <v>219</v>
      </c>
      <c r="C11" s="77" t="s">
        <v>318</v>
      </c>
      <c r="D11" s="77" t="s">
        <v>65</v>
      </c>
      <c r="E11" s="77" t="s">
        <v>230</v>
      </c>
      <c r="F11" s="78" t="s">
        <v>220</v>
      </c>
      <c r="G11" s="79">
        <v>45061.0</v>
      </c>
      <c r="H11" s="80"/>
      <c r="I11" s="77" t="s">
        <v>317</v>
      </c>
      <c r="J11" s="82"/>
    </row>
    <row r="12">
      <c r="A12" s="83">
        <v>8.0</v>
      </c>
      <c r="B12" s="77" t="s">
        <v>219</v>
      </c>
      <c r="C12" s="77" t="s">
        <v>319</v>
      </c>
      <c r="D12" s="77" t="s">
        <v>65</v>
      </c>
      <c r="E12" s="77" t="s">
        <v>230</v>
      </c>
      <c r="F12" s="78" t="s">
        <v>223</v>
      </c>
      <c r="G12" s="79">
        <v>45061.0</v>
      </c>
      <c r="H12" s="80"/>
      <c r="I12" s="77" t="s">
        <v>317</v>
      </c>
      <c r="J12" s="82"/>
    </row>
    <row r="13">
      <c r="A13" s="83">
        <v>9.0</v>
      </c>
      <c r="B13" s="77" t="s">
        <v>219</v>
      </c>
      <c r="C13" s="77" t="s">
        <v>319</v>
      </c>
      <c r="D13" s="77" t="s">
        <v>65</v>
      </c>
      <c r="E13" s="77" t="s">
        <v>230</v>
      </c>
      <c r="F13" s="78" t="s">
        <v>223</v>
      </c>
      <c r="G13" s="79">
        <v>45061.0</v>
      </c>
      <c r="H13" s="80"/>
      <c r="I13" s="77" t="s">
        <v>317</v>
      </c>
      <c r="J13" s="82"/>
    </row>
    <row r="14">
      <c r="A14" s="83">
        <v>10.0</v>
      </c>
      <c r="B14" s="77" t="s">
        <v>219</v>
      </c>
      <c r="C14" s="77" t="s">
        <v>254</v>
      </c>
      <c r="D14" s="77" t="s">
        <v>17</v>
      </c>
      <c r="E14" s="77" t="s">
        <v>230</v>
      </c>
      <c r="F14" s="78" t="s">
        <v>225</v>
      </c>
      <c r="G14" s="79">
        <v>45086.0</v>
      </c>
      <c r="H14" s="80"/>
      <c r="I14" s="77" t="s">
        <v>320</v>
      </c>
      <c r="J14" s="82"/>
    </row>
    <row r="15">
      <c r="A15" s="83">
        <v>11.0</v>
      </c>
      <c r="B15" s="77" t="s">
        <v>288</v>
      </c>
      <c r="C15" s="77" t="s">
        <v>321</v>
      </c>
      <c r="D15" s="77"/>
      <c r="E15" s="77"/>
      <c r="F15" s="83"/>
      <c r="G15" s="79"/>
      <c r="H15" s="80"/>
      <c r="I15" s="77" t="s">
        <v>320</v>
      </c>
      <c r="J15" s="82"/>
    </row>
    <row r="16">
      <c r="A16" s="83">
        <v>12.0</v>
      </c>
      <c r="B16" s="77" t="s">
        <v>269</v>
      </c>
      <c r="C16" s="77" t="s">
        <v>197</v>
      </c>
      <c r="D16" s="77" t="s">
        <v>198</v>
      </c>
      <c r="E16" s="77" t="s">
        <v>199</v>
      </c>
      <c r="F16" s="78" t="s">
        <v>227</v>
      </c>
      <c r="G16" s="79">
        <v>45117.0</v>
      </c>
      <c r="H16" s="80"/>
      <c r="I16" s="77" t="s">
        <v>322</v>
      </c>
      <c r="J16" s="82"/>
    </row>
    <row r="17">
      <c r="A17" s="83">
        <v>13.0</v>
      </c>
      <c r="B17" s="77" t="s">
        <v>323</v>
      </c>
      <c r="C17" s="77" t="s">
        <v>324</v>
      </c>
      <c r="D17" s="77" t="s">
        <v>198</v>
      </c>
      <c r="E17" s="77" t="s">
        <v>205</v>
      </c>
      <c r="F17" s="78" t="s">
        <v>231</v>
      </c>
      <c r="G17" s="79">
        <v>45132.0</v>
      </c>
      <c r="H17" s="80"/>
      <c r="I17" s="77" t="s">
        <v>325</v>
      </c>
      <c r="J17" s="82"/>
    </row>
    <row r="18">
      <c r="A18" s="83">
        <v>14.0</v>
      </c>
      <c r="B18" s="77" t="s">
        <v>323</v>
      </c>
      <c r="C18" s="77" t="s">
        <v>326</v>
      </c>
      <c r="D18" s="77" t="s">
        <v>198</v>
      </c>
      <c r="E18" s="77" t="s">
        <v>205</v>
      </c>
      <c r="F18" s="78" t="s">
        <v>231</v>
      </c>
      <c r="G18" s="79">
        <v>45132.0</v>
      </c>
      <c r="H18" s="80"/>
      <c r="I18" s="77" t="s">
        <v>325</v>
      </c>
      <c r="J18" s="82"/>
    </row>
    <row r="19">
      <c r="A19" s="86">
        <v>15.0</v>
      </c>
      <c r="B19" s="87" t="s">
        <v>327</v>
      </c>
      <c r="C19" s="87" t="s">
        <v>328</v>
      </c>
      <c r="D19" s="87" t="s">
        <v>198</v>
      </c>
      <c r="E19" s="87" t="s">
        <v>214</v>
      </c>
      <c r="F19" s="88" t="s">
        <v>236</v>
      </c>
      <c r="G19" s="89">
        <v>45132.0</v>
      </c>
      <c r="H19" s="90"/>
      <c r="I19" s="87" t="s">
        <v>325</v>
      </c>
      <c r="J19" s="91"/>
    </row>
    <row r="20">
      <c r="A20" s="86">
        <v>16.0</v>
      </c>
      <c r="B20" s="87" t="s">
        <v>327</v>
      </c>
      <c r="C20" s="87" t="s">
        <v>329</v>
      </c>
      <c r="D20" s="87" t="s">
        <v>198</v>
      </c>
      <c r="E20" s="87" t="s">
        <v>214</v>
      </c>
      <c r="F20" s="88" t="s">
        <v>236</v>
      </c>
      <c r="G20" s="89">
        <v>45132.0</v>
      </c>
      <c r="H20" s="86"/>
      <c r="I20" s="87" t="s">
        <v>325</v>
      </c>
      <c r="J20" s="91"/>
    </row>
    <row r="21">
      <c r="A21" s="83">
        <v>17.0</v>
      </c>
      <c r="B21" s="77" t="s">
        <v>288</v>
      </c>
      <c r="C21" s="77" t="s">
        <v>197</v>
      </c>
      <c r="D21" s="77" t="s">
        <v>198</v>
      </c>
      <c r="E21" s="77" t="s">
        <v>205</v>
      </c>
      <c r="F21" s="78" t="s">
        <v>239</v>
      </c>
      <c r="G21" s="79">
        <v>45132.0</v>
      </c>
      <c r="H21" s="83"/>
      <c r="I21" s="77" t="s">
        <v>330</v>
      </c>
      <c r="J21" s="82"/>
    </row>
    <row r="22">
      <c r="A22" s="83">
        <v>18.0</v>
      </c>
      <c r="B22" s="77" t="s">
        <v>331</v>
      </c>
      <c r="C22" s="77" t="s">
        <v>197</v>
      </c>
      <c r="D22" s="77" t="s">
        <v>198</v>
      </c>
      <c r="E22" s="77" t="s">
        <v>235</v>
      </c>
      <c r="F22" s="78" t="s">
        <v>243</v>
      </c>
      <c r="G22" s="79">
        <v>45139.0</v>
      </c>
      <c r="H22" s="83"/>
      <c r="I22" s="77" t="s">
        <v>332</v>
      </c>
      <c r="J22" s="82"/>
    </row>
    <row r="23">
      <c r="A23" s="83">
        <v>19.0</v>
      </c>
      <c r="B23" s="77" t="s">
        <v>333</v>
      </c>
      <c r="C23" s="77" t="s">
        <v>197</v>
      </c>
      <c r="D23" s="77" t="s">
        <v>198</v>
      </c>
      <c r="E23" s="77" t="s">
        <v>214</v>
      </c>
      <c r="F23" s="78" t="s">
        <v>245</v>
      </c>
      <c r="G23" s="79">
        <v>45153.0</v>
      </c>
      <c r="H23" s="83"/>
      <c r="I23" s="77" t="s">
        <v>334</v>
      </c>
      <c r="J23" s="82"/>
    </row>
    <row r="24">
      <c r="A24" s="83">
        <v>20.0</v>
      </c>
      <c r="B24" s="77" t="s">
        <v>331</v>
      </c>
      <c r="C24" s="77" t="s">
        <v>335</v>
      </c>
      <c r="D24" s="77" t="s">
        <v>198</v>
      </c>
      <c r="E24" s="77" t="s">
        <v>235</v>
      </c>
      <c r="F24" s="78" t="s">
        <v>248</v>
      </c>
      <c r="G24" s="79">
        <v>45198.0</v>
      </c>
      <c r="H24" s="83"/>
      <c r="I24" s="77" t="s">
        <v>336</v>
      </c>
      <c r="J24" s="82"/>
    </row>
    <row r="25">
      <c r="A25" s="83">
        <v>21.0</v>
      </c>
      <c r="B25" s="77" t="s">
        <v>269</v>
      </c>
      <c r="C25" s="77" t="s">
        <v>254</v>
      </c>
      <c r="D25" s="77" t="s">
        <v>198</v>
      </c>
      <c r="E25" s="77" t="s">
        <v>235</v>
      </c>
      <c r="F25" s="78" t="s">
        <v>249</v>
      </c>
      <c r="G25" s="79">
        <v>45198.0</v>
      </c>
      <c r="H25" s="83"/>
      <c r="I25" s="77" t="s">
        <v>336</v>
      </c>
      <c r="J25" s="82"/>
    </row>
    <row r="26">
      <c r="A26" s="83">
        <v>22.0</v>
      </c>
      <c r="B26" s="77" t="s">
        <v>269</v>
      </c>
      <c r="C26" s="77" t="s">
        <v>335</v>
      </c>
      <c r="D26" s="77" t="s">
        <v>198</v>
      </c>
      <c r="E26" s="77" t="s">
        <v>235</v>
      </c>
      <c r="F26" s="78" t="s">
        <v>252</v>
      </c>
      <c r="G26" s="79">
        <v>45198.0</v>
      </c>
      <c r="H26" s="85"/>
      <c r="I26" s="77" t="s">
        <v>336</v>
      </c>
      <c r="J26" s="82"/>
    </row>
    <row r="27">
      <c r="A27" s="83">
        <v>23.0</v>
      </c>
      <c r="B27" s="77" t="s">
        <v>337</v>
      </c>
      <c r="C27" s="77" t="s">
        <v>304</v>
      </c>
      <c r="D27" s="77" t="s">
        <v>198</v>
      </c>
      <c r="E27" s="77" t="s">
        <v>235</v>
      </c>
      <c r="F27" s="78" t="s">
        <v>259</v>
      </c>
      <c r="G27" s="79">
        <v>45198.0</v>
      </c>
      <c r="H27" s="83"/>
      <c r="I27" s="77" t="s">
        <v>336</v>
      </c>
      <c r="J27" s="82"/>
    </row>
    <row r="28">
      <c r="A28" s="83">
        <v>24.0</v>
      </c>
      <c r="B28" s="77" t="s">
        <v>338</v>
      </c>
      <c r="C28" s="77" t="s">
        <v>339</v>
      </c>
      <c r="D28" s="77" t="s">
        <v>279</v>
      </c>
      <c r="E28" s="77" t="s">
        <v>235</v>
      </c>
      <c r="F28" s="78" t="s">
        <v>263</v>
      </c>
      <c r="G28" s="79">
        <v>45202.0</v>
      </c>
      <c r="H28" s="83"/>
      <c r="I28" s="77" t="s">
        <v>340</v>
      </c>
      <c r="J28" s="82"/>
    </row>
    <row r="29">
      <c r="A29" s="83">
        <v>25.0</v>
      </c>
      <c r="B29" s="77" t="s">
        <v>338</v>
      </c>
      <c r="C29" s="77" t="s">
        <v>341</v>
      </c>
      <c r="D29" s="77" t="s">
        <v>279</v>
      </c>
      <c r="E29" s="77" t="s">
        <v>235</v>
      </c>
      <c r="F29" s="78" t="s">
        <v>263</v>
      </c>
      <c r="G29" s="79">
        <v>45205.0</v>
      </c>
      <c r="H29" s="83"/>
      <c r="I29" s="77" t="s">
        <v>340</v>
      </c>
      <c r="J29" s="82"/>
    </row>
    <row r="30">
      <c r="A30" s="83">
        <v>26.0</v>
      </c>
      <c r="B30" s="77" t="s">
        <v>342</v>
      </c>
      <c r="C30" s="77" t="s">
        <v>304</v>
      </c>
      <c r="D30" s="77" t="s">
        <v>17</v>
      </c>
      <c r="E30" s="77" t="s">
        <v>230</v>
      </c>
      <c r="F30" s="78" t="s">
        <v>265</v>
      </c>
      <c r="G30" s="79">
        <v>45209.0</v>
      </c>
      <c r="H30" s="83"/>
      <c r="I30" s="77" t="s">
        <v>343</v>
      </c>
      <c r="J30" s="82"/>
    </row>
    <row r="31">
      <c r="A31" s="83">
        <v>27.0</v>
      </c>
      <c r="B31" s="77" t="s">
        <v>261</v>
      </c>
      <c r="C31" s="77" t="s">
        <v>304</v>
      </c>
      <c r="D31" s="77" t="s">
        <v>147</v>
      </c>
      <c r="E31" s="77" t="s">
        <v>235</v>
      </c>
      <c r="F31" s="78" t="s">
        <v>268</v>
      </c>
      <c r="G31" s="79">
        <v>45216.0</v>
      </c>
      <c r="H31" s="83"/>
      <c r="I31" s="77" t="s">
        <v>310</v>
      </c>
      <c r="J31" s="82"/>
    </row>
    <row r="32">
      <c r="A32" s="83">
        <v>28.0</v>
      </c>
      <c r="B32" s="77" t="s">
        <v>222</v>
      </c>
      <c r="C32" s="77" t="s">
        <v>229</v>
      </c>
      <c r="D32" s="77" t="s">
        <v>147</v>
      </c>
      <c r="E32" s="77" t="s">
        <v>235</v>
      </c>
      <c r="F32" s="78" t="s">
        <v>270</v>
      </c>
      <c r="G32" s="79">
        <v>45223.0</v>
      </c>
      <c r="H32" s="83"/>
      <c r="I32" s="77" t="s">
        <v>344</v>
      </c>
      <c r="J32" s="82"/>
    </row>
    <row r="33">
      <c r="A33" s="83">
        <v>29.0</v>
      </c>
      <c r="B33" s="77" t="s">
        <v>251</v>
      </c>
      <c r="C33" s="77" t="s">
        <v>345</v>
      </c>
      <c r="D33" s="77" t="s">
        <v>198</v>
      </c>
      <c r="E33" s="77" t="s">
        <v>235</v>
      </c>
      <c r="F33" s="78" t="s">
        <v>273</v>
      </c>
      <c r="G33" s="79">
        <v>45227.0</v>
      </c>
      <c r="H33" s="83"/>
      <c r="I33" s="77" t="s">
        <v>346</v>
      </c>
      <c r="J33" s="82"/>
    </row>
    <row r="34">
      <c r="A34" s="83">
        <v>30.0</v>
      </c>
      <c r="B34" s="77" t="s">
        <v>251</v>
      </c>
      <c r="C34" s="77" t="s">
        <v>347</v>
      </c>
      <c r="D34" s="77" t="s">
        <v>198</v>
      </c>
      <c r="E34" s="77" t="s">
        <v>235</v>
      </c>
      <c r="F34" s="78" t="s">
        <v>275</v>
      </c>
      <c r="G34" s="79">
        <v>45229.0</v>
      </c>
      <c r="H34" s="83"/>
      <c r="I34" s="77" t="s">
        <v>348</v>
      </c>
      <c r="J34" s="82"/>
    </row>
    <row r="35">
      <c r="A35" s="83">
        <v>31.0</v>
      </c>
      <c r="B35" s="77" t="s">
        <v>196</v>
      </c>
      <c r="C35" s="77" t="s">
        <v>304</v>
      </c>
      <c r="D35" s="77" t="s">
        <v>17</v>
      </c>
      <c r="E35" s="77" t="s">
        <v>214</v>
      </c>
      <c r="F35" s="78" t="s">
        <v>277</v>
      </c>
      <c r="G35" s="79">
        <v>45254.0</v>
      </c>
      <c r="H35" s="83"/>
      <c r="I35" s="77" t="s">
        <v>343</v>
      </c>
      <c r="J35" s="82"/>
    </row>
    <row r="36">
      <c r="A36" s="83">
        <v>32.0</v>
      </c>
      <c r="B36" s="77" t="s">
        <v>196</v>
      </c>
      <c r="C36" s="77" t="s">
        <v>349</v>
      </c>
      <c r="D36" s="77" t="s">
        <v>150</v>
      </c>
      <c r="E36" s="77" t="s">
        <v>214</v>
      </c>
      <c r="F36" s="78" t="s">
        <v>280</v>
      </c>
      <c r="G36" s="79">
        <v>45282.0</v>
      </c>
      <c r="H36" s="83"/>
      <c r="I36" s="77"/>
      <c r="J36" s="82"/>
    </row>
    <row r="37">
      <c r="A37" s="83">
        <v>33.0</v>
      </c>
      <c r="B37" s="77" t="s">
        <v>196</v>
      </c>
      <c r="C37" s="77" t="s">
        <v>349</v>
      </c>
      <c r="D37" s="77" t="s">
        <v>198</v>
      </c>
      <c r="E37" s="77" t="s">
        <v>214</v>
      </c>
      <c r="F37" s="78" t="s">
        <v>280</v>
      </c>
      <c r="G37" s="79">
        <v>45282.0</v>
      </c>
      <c r="H37" s="83"/>
      <c r="I37" s="77"/>
      <c r="J37" s="82"/>
    </row>
    <row r="38">
      <c r="A38" s="85"/>
      <c r="B38" s="77"/>
      <c r="C38" s="77"/>
      <c r="D38" s="77"/>
      <c r="E38" s="77"/>
      <c r="F38" s="83"/>
      <c r="G38" s="79"/>
      <c r="H38" s="83"/>
      <c r="I38" s="77"/>
      <c r="J38" s="82"/>
    </row>
    <row r="39">
      <c r="A39" s="85"/>
      <c r="B39" s="77"/>
      <c r="C39" s="77"/>
      <c r="D39" s="77"/>
      <c r="E39" s="77"/>
      <c r="F39" s="83"/>
      <c r="G39" s="79"/>
      <c r="H39" s="83"/>
      <c r="I39" s="77"/>
      <c r="J39" s="82"/>
    </row>
    <row r="40">
      <c r="A40" s="85"/>
      <c r="B40" s="77"/>
      <c r="C40" s="77"/>
      <c r="D40" s="82"/>
      <c r="E40" s="82"/>
      <c r="F40" s="85"/>
      <c r="G40" s="85"/>
      <c r="H40" s="85"/>
      <c r="I40" s="82"/>
      <c r="J40" s="82"/>
    </row>
    <row r="41">
      <c r="A41" s="85"/>
      <c r="B41" s="77"/>
      <c r="C41" s="77"/>
      <c r="D41" s="82"/>
      <c r="E41" s="82"/>
      <c r="F41" s="85"/>
      <c r="G41" s="85"/>
      <c r="H41" s="85"/>
      <c r="I41" s="82"/>
      <c r="J41" s="82"/>
    </row>
    <row r="42">
      <c r="A42" s="85"/>
      <c r="B42" s="77"/>
      <c r="C42" s="77"/>
      <c r="D42" s="82"/>
      <c r="E42" s="82"/>
      <c r="F42" s="85"/>
      <c r="G42" s="85"/>
      <c r="H42" s="85"/>
      <c r="I42" s="82"/>
      <c r="J42" s="82"/>
    </row>
    <row r="43">
      <c r="A43" s="85"/>
      <c r="B43" s="77"/>
      <c r="C43" s="77"/>
      <c r="D43" s="82"/>
      <c r="E43" s="82"/>
      <c r="F43" s="85"/>
      <c r="G43" s="85"/>
      <c r="H43" s="85"/>
      <c r="I43" s="82"/>
      <c r="J43" s="82"/>
    </row>
    <row r="44">
      <c r="A44" s="85"/>
      <c r="B44" s="77"/>
      <c r="C44" s="77"/>
      <c r="D44" s="77"/>
      <c r="E44" s="77"/>
      <c r="F44" s="83"/>
      <c r="G44" s="79"/>
      <c r="H44" s="83"/>
      <c r="I44" s="77"/>
      <c r="J44" s="82"/>
    </row>
    <row r="45">
      <c r="A45" s="85"/>
      <c r="B45" s="77"/>
      <c r="C45" s="77"/>
      <c r="D45" s="77"/>
      <c r="E45" s="77"/>
      <c r="F45" s="83"/>
      <c r="G45" s="79"/>
      <c r="H45" s="83"/>
      <c r="I45" s="77"/>
      <c r="J45" s="82"/>
    </row>
    <row r="46">
      <c r="A46" s="83"/>
      <c r="B46" s="77"/>
      <c r="C46" s="77"/>
      <c r="D46" s="77"/>
      <c r="E46" s="77"/>
      <c r="F46" s="83"/>
      <c r="G46" s="79"/>
      <c r="H46" s="83"/>
      <c r="I46" s="77"/>
      <c r="J46" s="82"/>
    </row>
    <row r="47">
      <c r="A47" s="85"/>
      <c r="B47" s="77"/>
      <c r="C47" s="77"/>
      <c r="D47" s="77"/>
      <c r="E47" s="77"/>
      <c r="F47" s="83"/>
      <c r="G47" s="79"/>
      <c r="H47" s="83"/>
      <c r="I47" s="77"/>
      <c r="J47" s="82"/>
    </row>
    <row r="48">
      <c r="A48" s="85"/>
      <c r="B48" s="77"/>
      <c r="C48" s="77"/>
      <c r="D48" s="77"/>
      <c r="E48" s="77"/>
      <c r="F48" s="83"/>
      <c r="G48" s="79"/>
      <c r="H48" s="83"/>
      <c r="I48" s="77"/>
      <c r="J48" s="82"/>
    </row>
    <row r="49">
      <c r="A49" s="85"/>
      <c r="B49" s="77"/>
      <c r="C49" s="77"/>
      <c r="D49" s="77"/>
      <c r="E49" s="77"/>
      <c r="F49" s="83"/>
      <c r="G49" s="79"/>
      <c r="H49" s="83"/>
      <c r="I49" s="77"/>
      <c r="J49" s="82"/>
    </row>
    <row r="50">
      <c r="A50" s="85"/>
      <c r="B50" s="82"/>
      <c r="C50" s="82"/>
      <c r="D50" s="82"/>
      <c r="E50" s="82"/>
      <c r="F50" s="85"/>
      <c r="G50" s="85"/>
      <c r="H50" s="85"/>
      <c r="I50" s="82"/>
      <c r="J50" s="82"/>
    </row>
    <row r="51">
      <c r="A51" s="85"/>
      <c r="B51" s="82"/>
      <c r="C51" s="82"/>
      <c r="D51" s="82"/>
      <c r="E51" s="82"/>
      <c r="F51" s="85"/>
      <c r="G51" s="85"/>
      <c r="H51" s="85"/>
      <c r="I51" s="82"/>
      <c r="J51" s="82"/>
    </row>
    <row r="52">
      <c r="A52" s="85"/>
      <c r="B52" s="82"/>
      <c r="C52" s="82"/>
      <c r="D52" s="82"/>
      <c r="E52" s="82"/>
      <c r="F52" s="85"/>
      <c r="G52" s="85"/>
      <c r="H52" s="85"/>
      <c r="I52" s="82"/>
      <c r="J52" s="82"/>
    </row>
    <row r="53">
      <c r="A53" s="85"/>
      <c r="B53" s="82"/>
      <c r="C53" s="82"/>
      <c r="D53" s="82"/>
      <c r="E53" s="82"/>
      <c r="F53" s="85"/>
      <c r="G53" s="85"/>
      <c r="H53" s="85"/>
      <c r="I53" s="82"/>
      <c r="J53" s="82"/>
    </row>
    <row r="54">
      <c r="A54" s="85"/>
      <c r="B54" s="82"/>
      <c r="C54" s="82"/>
      <c r="D54" s="82"/>
      <c r="E54" s="82"/>
      <c r="F54" s="85"/>
      <c r="G54" s="85"/>
      <c r="H54" s="85"/>
      <c r="I54" s="82"/>
      <c r="J54" s="82"/>
    </row>
    <row r="55">
      <c r="A55" s="85"/>
      <c r="B55" s="82"/>
      <c r="C55" s="82"/>
      <c r="D55" s="82"/>
      <c r="E55" s="82"/>
      <c r="F55" s="85"/>
      <c r="G55" s="85"/>
      <c r="H55" s="85"/>
      <c r="I55" s="82"/>
      <c r="J55" s="82"/>
    </row>
    <row r="56">
      <c r="A56" s="85"/>
      <c r="B56" s="82"/>
      <c r="C56" s="82"/>
      <c r="D56" s="82"/>
      <c r="E56" s="82"/>
      <c r="F56" s="85"/>
      <c r="G56" s="85"/>
      <c r="H56" s="85"/>
      <c r="I56" s="82"/>
      <c r="J56" s="82"/>
    </row>
    <row r="57">
      <c r="A57" s="85"/>
      <c r="B57" s="82"/>
      <c r="C57" s="82"/>
      <c r="D57" s="82"/>
      <c r="E57" s="82"/>
      <c r="F57" s="85"/>
      <c r="G57" s="85"/>
      <c r="H57" s="85"/>
      <c r="I57" s="82"/>
      <c r="J57" s="82"/>
    </row>
    <row r="58">
      <c r="A58" s="85"/>
      <c r="B58" s="82"/>
      <c r="C58" s="82"/>
      <c r="D58" s="82"/>
      <c r="E58" s="82"/>
      <c r="F58" s="85"/>
      <c r="G58" s="85"/>
      <c r="H58" s="85"/>
      <c r="I58" s="82"/>
      <c r="J58" s="82"/>
    </row>
    <row r="59">
      <c r="A59" s="85"/>
      <c r="B59" s="82"/>
      <c r="C59" s="82"/>
      <c r="D59" s="82"/>
      <c r="E59" s="82"/>
      <c r="F59" s="85"/>
      <c r="G59" s="85"/>
      <c r="H59" s="85"/>
      <c r="I59" s="82"/>
      <c r="J59" s="82"/>
    </row>
    <row r="60">
      <c r="A60" s="85"/>
      <c r="B60" s="82"/>
      <c r="C60" s="82"/>
      <c r="D60" s="82"/>
      <c r="E60" s="82"/>
      <c r="F60" s="85"/>
      <c r="G60" s="85"/>
      <c r="H60" s="85"/>
      <c r="I60" s="82"/>
      <c r="J60" s="82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</row>
  </sheetData>
  <autoFilter ref="$A$4:$J$37"/>
  <customSheetViews>
    <customSheetView guid="{702A14C5-304D-40D0-8B4D-3F24FE2109FE}" filter="1" showAutoFilter="1">
      <autoFilter ref="$A$4:$J$49"/>
    </customSheetView>
  </customSheetViews>
  <mergeCells count="1">
    <mergeCell ref="D1:J1"/>
  </mergeCells>
  <dataValidations>
    <dataValidation type="list" allowBlank="1" sqref="C5:C60">
      <formula1>BAY</formula1>
    </dataValidation>
    <dataValidation type="list" allowBlank="1" sqref="B5:B60">
      <formula1>GI</formula1>
    </dataValidation>
    <dataValidation type="list" allowBlank="1" sqref="D5:D60">
      <formula1>PROTEKSI</formula1>
    </dataValidation>
    <dataValidation type="list" allowBlank="1" sqref="E5:E60">
      <formula1>PEMOHON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4.75"/>
    <col customWidth="1" min="2" max="2" width="24.13"/>
    <col customWidth="1" min="3" max="3" width="30.5"/>
    <col customWidth="1" min="4" max="4" width="27.75"/>
    <col customWidth="1" min="5" max="5" width="16.75"/>
    <col customWidth="1" min="6" max="6" width="22.75"/>
    <col customWidth="1" min="7" max="7" width="8.38"/>
    <col customWidth="1" min="8" max="8" width="10.88"/>
    <col customWidth="1" min="9" max="9" width="9.88"/>
    <col customWidth="1" min="10" max="10" width="40.0"/>
    <col customWidth="1" min="11" max="11" width="8.88"/>
  </cols>
  <sheetData>
    <row r="1">
      <c r="E1" s="92" t="s">
        <v>187</v>
      </c>
    </row>
    <row r="3" ht="37.5" customHeight="1">
      <c r="A3" s="93" t="s">
        <v>188</v>
      </c>
      <c r="B3" s="94" t="s">
        <v>350</v>
      </c>
      <c r="C3" s="94" t="s">
        <v>1</v>
      </c>
      <c r="D3" s="94" t="s">
        <v>2</v>
      </c>
      <c r="E3" s="94" t="s">
        <v>189</v>
      </c>
      <c r="F3" s="94" t="s">
        <v>190</v>
      </c>
      <c r="G3" s="94" t="s">
        <v>191</v>
      </c>
      <c r="H3" s="94" t="s">
        <v>192</v>
      </c>
      <c r="I3" s="94" t="s">
        <v>193</v>
      </c>
      <c r="J3" s="94" t="s">
        <v>194</v>
      </c>
      <c r="K3" s="94" t="s">
        <v>195</v>
      </c>
    </row>
    <row r="4">
      <c r="A4" s="95"/>
      <c r="B4" s="32"/>
      <c r="C4" s="32"/>
      <c r="D4" s="32"/>
      <c r="E4" s="32"/>
      <c r="F4" s="32"/>
      <c r="G4" s="95"/>
      <c r="H4" s="96"/>
      <c r="I4" s="95"/>
      <c r="J4" s="97"/>
    </row>
    <row r="5">
      <c r="A5" s="98">
        <f t="array" ref="A5:A88">SEQUENCE(counta(B:B)-1,1)</f>
        <v>1</v>
      </c>
      <c r="B5" s="99" t="s">
        <v>351</v>
      </c>
      <c r="C5" s="99" t="s">
        <v>196</v>
      </c>
      <c r="D5" s="99" t="s">
        <v>229</v>
      </c>
      <c r="E5" s="99" t="s">
        <v>198</v>
      </c>
      <c r="F5" s="99" t="s">
        <v>214</v>
      </c>
      <c r="G5" s="100" t="s">
        <v>200</v>
      </c>
      <c r="H5" s="101">
        <v>45572.0</v>
      </c>
      <c r="I5" s="102" t="s">
        <v>31</v>
      </c>
      <c r="J5" s="103"/>
      <c r="K5" s="104"/>
    </row>
    <row r="6">
      <c r="A6" s="105">
        <v>2.0</v>
      </c>
      <c r="B6" s="99" t="s">
        <v>351</v>
      </c>
      <c r="C6" s="99" t="s">
        <v>196</v>
      </c>
      <c r="D6" s="99" t="s">
        <v>254</v>
      </c>
      <c r="E6" s="99" t="s">
        <v>198</v>
      </c>
      <c r="F6" s="99" t="s">
        <v>214</v>
      </c>
      <c r="G6" s="100" t="s">
        <v>206</v>
      </c>
      <c r="H6" s="101">
        <v>45572.0</v>
      </c>
      <c r="I6" s="102" t="s">
        <v>31</v>
      </c>
      <c r="J6" s="99"/>
      <c r="K6" s="104"/>
    </row>
    <row r="7">
      <c r="A7" s="105">
        <v>3.0</v>
      </c>
      <c r="B7" s="99" t="s">
        <v>351</v>
      </c>
      <c r="C7" s="99" t="s">
        <v>196</v>
      </c>
      <c r="D7" s="99" t="s">
        <v>304</v>
      </c>
      <c r="E7" s="99" t="s">
        <v>198</v>
      </c>
      <c r="F7" s="99" t="s">
        <v>214</v>
      </c>
      <c r="G7" s="100" t="s">
        <v>211</v>
      </c>
      <c r="H7" s="101">
        <v>45572.0</v>
      </c>
      <c r="I7" s="102" t="s">
        <v>31</v>
      </c>
      <c r="J7" s="99"/>
      <c r="K7" s="104"/>
    </row>
    <row r="8">
      <c r="A8" s="105">
        <v>4.0</v>
      </c>
      <c r="B8" s="99" t="s">
        <v>351</v>
      </c>
      <c r="C8" s="99" t="s">
        <v>196</v>
      </c>
      <c r="D8" s="99" t="s">
        <v>335</v>
      </c>
      <c r="E8" s="99" t="s">
        <v>198</v>
      </c>
      <c r="F8" s="99" t="s">
        <v>214</v>
      </c>
      <c r="G8" s="100" t="s">
        <v>215</v>
      </c>
      <c r="H8" s="101">
        <v>45572.0</v>
      </c>
      <c r="I8" s="102" t="s">
        <v>31</v>
      </c>
      <c r="J8" s="99"/>
      <c r="K8" s="104"/>
    </row>
    <row r="9">
      <c r="A9" s="105">
        <v>5.0</v>
      </c>
      <c r="B9" s="99" t="s">
        <v>351</v>
      </c>
      <c r="C9" s="99" t="s">
        <v>327</v>
      </c>
      <c r="D9" s="99" t="s">
        <v>229</v>
      </c>
      <c r="E9" s="99" t="s">
        <v>198</v>
      </c>
      <c r="F9" s="99" t="s">
        <v>214</v>
      </c>
      <c r="G9" s="100" t="s">
        <v>217</v>
      </c>
      <c r="H9" s="101">
        <v>45575.0</v>
      </c>
      <c r="I9" s="102" t="s">
        <v>31</v>
      </c>
      <c r="J9" s="99"/>
      <c r="K9" s="104"/>
    </row>
    <row r="10">
      <c r="A10" s="105">
        <v>6.0</v>
      </c>
      <c r="B10" s="99" t="s">
        <v>351</v>
      </c>
      <c r="C10" s="99" t="s">
        <v>327</v>
      </c>
      <c r="D10" s="99" t="s">
        <v>254</v>
      </c>
      <c r="E10" s="99" t="s">
        <v>198</v>
      </c>
      <c r="F10" s="99" t="s">
        <v>214</v>
      </c>
      <c r="G10" s="100" t="s">
        <v>220</v>
      </c>
      <c r="H10" s="101">
        <v>45575.0</v>
      </c>
      <c r="I10" s="102" t="s">
        <v>31</v>
      </c>
      <c r="J10" s="99"/>
      <c r="K10" s="104"/>
    </row>
    <row r="11">
      <c r="A11" s="105">
        <v>7.0</v>
      </c>
      <c r="B11" s="99" t="s">
        <v>351</v>
      </c>
      <c r="C11" s="99" t="s">
        <v>338</v>
      </c>
      <c r="D11" s="99" t="s">
        <v>229</v>
      </c>
      <c r="E11" s="99" t="s">
        <v>198</v>
      </c>
      <c r="F11" s="99" t="s">
        <v>214</v>
      </c>
      <c r="G11" s="100" t="s">
        <v>223</v>
      </c>
      <c r="H11" s="101">
        <v>45575.0</v>
      </c>
      <c r="I11" s="102" t="s">
        <v>31</v>
      </c>
      <c r="J11" s="99"/>
      <c r="K11" s="104"/>
    </row>
    <row r="12">
      <c r="A12" s="105">
        <v>8.0</v>
      </c>
      <c r="B12" s="99" t="s">
        <v>351</v>
      </c>
      <c r="C12" s="99" t="s">
        <v>338</v>
      </c>
      <c r="D12" s="99" t="s">
        <v>254</v>
      </c>
      <c r="E12" s="99" t="s">
        <v>198</v>
      </c>
      <c r="F12" s="99" t="s">
        <v>214</v>
      </c>
      <c r="G12" s="100" t="s">
        <v>225</v>
      </c>
      <c r="H12" s="101">
        <v>45575.0</v>
      </c>
      <c r="I12" s="102" t="s">
        <v>31</v>
      </c>
      <c r="J12" s="99"/>
      <c r="K12" s="104"/>
    </row>
    <row r="13">
      <c r="A13" s="105">
        <v>9.0</v>
      </c>
      <c r="B13" s="99" t="s">
        <v>351</v>
      </c>
      <c r="C13" s="99" t="s">
        <v>338</v>
      </c>
      <c r="D13" s="99" t="s">
        <v>304</v>
      </c>
      <c r="E13" s="99" t="s">
        <v>198</v>
      </c>
      <c r="F13" s="99" t="s">
        <v>214</v>
      </c>
      <c r="G13" s="100" t="s">
        <v>227</v>
      </c>
      <c r="H13" s="101">
        <v>45575.0</v>
      </c>
      <c r="I13" s="102" t="s">
        <v>31</v>
      </c>
      <c r="J13" s="99"/>
      <c r="K13" s="104"/>
    </row>
    <row r="14">
      <c r="A14" s="105">
        <v>10.0</v>
      </c>
      <c r="B14" s="99" t="s">
        <v>351</v>
      </c>
      <c r="C14" s="99" t="s">
        <v>264</v>
      </c>
      <c r="D14" s="99" t="s">
        <v>229</v>
      </c>
      <c r="E14" s="99" t="s">
        <v>198</v>
      </c>
      <c r="F14" s="99" t="s">
        <v>214</v>
      </c>
      <c r="G14" s="100" t="s">
        <v>231</v>
      </c>
      <c r="H14" s="101">
        <v>45575.0</v>
      </c>
      <c r="I14" s="102" t="s">
        <v>31</v>
      </c>
      <c r="J14" s="99"/>
      <c r="K14" s="104"/>
    </row>
    <row r="15">
      <c r="A15" s="105">
        <v>11.0</v>
      </c>
      <c r="B15" s="99" t="s">
        <v>351</v>
      </c>
      <c r="C15" s="99" t="s">
        <v>264</v>
      </c>
      <c r="D15" s="99" t="s">
        <v>254</v>
      </c>
      <c r="E15" s="99" t="s">
        <v>198</v>
      </c>
      <c r="F15" s="99" t="s">
        <v>214</v>
      </c>
      <c r="G15" s="100" t="s">
        <v>236</v>
      </c>
      <c r="H15" s="101">
        <v>45572.0</v>
      </c>
      <c r="I15" s="102" t="s">
        <v>31</v>
      </c>
      <c r="J15" s="99"/>
      <c r="K15" s="104"/>
    </row>
    <row r="16">
      <c r="A16" s="105">
        <v>12.0</v>
      </c>
      <c r="B16" s="99" t="s">
        <v>351</v>
      </c>
      <c r="C16" s="99" t="s">
        <v>264</v>
      </c>
      <c r="D16" s="99" t="s">
        <v>304</v>
      </c>
      <c r="E16" s="99" t="s">
        <v>198</v>
      </c>
      <c r="F16" s="99" t="s">
        <v>214</v>
      </c>
      <c r="G16" s="100" t="s">
        <v>239</v>
      </c>
      <c r="H16" s="101">
        <v>45575.0</v>
      </c>
      <c r="I16" s="102" t="s">
        <v>31</v>
      </c>
      <c r="J16" s="99"/>
      <c r="K16" s="104"/>
    </row>
    <row r="17">
      <c r="A17" s="105">
        <v>13.0</v>
      </c>
      <c r="B17" s="99" t="s">
        <v>351</v>
      </c>
      <c r="C17" s="99" t="s">
        <v>352</v>
      </c>
      <c r="D17" s="99" t="s">
        <v>229</v>
      </c>
      <c r="E17" s="99" t="s">
        <v>198</v>
      </c>
      <c r="F17" s="99" t="s">
        <v>214</v>
      </c>
      <c r="G17" s="100" t="s">
        <v>243</v>
      </c>
      <c r="H17" s="101">
        <v>45575.0</v>
      </c>
      <c r="I17" s="102" t="s">
        <v>31</v>
      </c>
      <c r="J17" s="99"/>
      <c r="K17" s="104"/>
    </row>
    <row r="18">
      <c r="A18" s="105">
        <v>14.0</v>
      </c>
      <c r="B18" s="99" t="s">
        <v>351</v>
      </c>
      <c r="C18" s="99" t="s">
        <v>352</v>
      </c>
      <c r="D18" s="99" t="s">
        <v>254</v>
      </c>
      <c r="E18" s="99" t="s">
        <v>198</v>
      </c>
      <c r="F18" s="99" t="s">
        <v>214</v>
      </c>
      <c r="G18" s="100" t="s">
        <v>245</v>
      </c>
      <c r="H18" s="101">
        <v>45575.0</v>
      </c>
      <c r="I18" s="102" t="s">
        <v>31</v>
      </c>
      <c r="J18" s="99"/>
      <c r="K18" s="104"/>
    </row>
    <row r="19">
      <c r="A19" s="105">
        <v>15.0</v>
      </c>
      <c r="B19" s="99" t="s">
        <v>351</v>
      </c>
      <c r="C19" s="99" t="s">
        <v>309</v>
      </c>
      <c r="D19" s="99" t="s">
        <v>229</v>
      </c>
      <c r="E19" s="99" t="s">
        <v>198</v>
      </c>
      <c r="F19" s="99" t="s">
        <v>214</v>
      </c>
      <c r="G19" s="100" t="s">
        <v>248</v>
      </c>
      <c r="H19" s="101">
        <v>45572.0</v>
      </c>
      <c r="I19" s="102" t="s">
        <v>31</v>
      </c>
      <c r="J19" s="99"/>
      <c r="K19" s="104"/>
    </row>
    <row r="20">
      <c r="A20" s="105">
        <v>16.0</v>
      </c>
      <c r="B20" s="99" t="s">
        <v>351</v>
      </c>
      <c r="C20" s="99" t="s">
        <v>309</v>
      </c>
      <c r="D20" s="99" t="s">
        <v>254</v>
      </c>
      <c r="E20" s="99" t="s">
        <v>198</v>
      </c>
      <c r="F20" s="99" t="s">
        <v>214</v>
      </c>
      <c r="G20" s="100" t="s">
        <v>249</v>
      </c>
      <c r="H20" s="101">
        <v>45572.0</v>
      </c>
      <c r="I20" s="102" t="s">
        <v>31</v>
      </c>
      <c r="J20" s="99"/>
      <c r="K20" s="104"/>
    </row>
    <row r="21">
      <c r="A21" s="105">
        <v>17.0</v>
      </c>
      <c r="B21" s="99" t="s">
        <v>351</v>
      </c>
      <c r="C21" s="99" t="s">
        <v>309</v>
      </c>
      <c r="D21" s="99" t="s">
        <v>304</v>
      </c>
      <c r="E21" s="99" t="s">
        <v>198</v>
      </c>
      <c r="F21" s="99" t="s">
        <v>214</v>
      </c>
      <c r="G21" s="100" t="s">
        <v>252</v>
      </c>
      <c r="H21" s="101">
        <v>45572.0</v>
      </c>
      <c r="I21" s="102" t="s">
        <v>31</v>
      </c>
      <c r="J21" s="99"/>
      <c r="K21" s="104"/>
    </row>
    <row r="22">
      <c r="A22" s="105">
        <v>18.0</v>
      </c>
      <c r="B22" s="99" t="s">
        <v>351</v>
      </c>
      <c r="C22" s="99" t="s">
        <v>353</v>
      </c>
      <c r="D22" s="99" t="s">
        <v>229</v>
      </c>
      <c r="E22" s="99" t="s">
        <v>198</v>
      </c>
      <c r="F22" s="99" t="s">
        <v>214</v>
      </c>
      <c r="G22" s="100" t="s">
        <v>259</v>
      </c>
      <c r="H22" s="101">
        <v>45575.0</v>
      </c>
      <c r="I22" s="102" t="s">
        <v>31</v>
      </c>
      <c r="J22" s="99"/>
      <c r="K22" s="104"/>
    </row>
    <row r="23">
      <c r="A23" s="105">
        <v>19.0</v>
      </c>
      <c r="B23" s="99" t="s">
        <v>351</v>
      </c>
      <c r="C23" s="99" t="s">
        <v>353</v>
      </c>
      <c r="D23" s="99" t="s">
        <v>254</v>
      </c>
      <c r="E23" s="99" t="s">
        <v>198</v>
      </c>
      <c r="F23" s="99" t="s">
        <v>214</v>
      </c>
      <c r="G23" s="100" t="s">
        <v>263</v>
      </c>
      <c r="H23" s="101">
        <v>45575.0</v>
      </c>
      <c r="I23" s="102" t="s">
        <v>31</v>
      </c>
      <c r="J23" s="99"/>
      <c r="K23" s="104"/>
    </row>
    <row r="24">
      <c r="A24" s="105">
        <v>20.0</v>
      </c>
      <c r="B24" s="99" t="s">
        <v>351</v>
      </c>
      <c r="C24" s="99" t="s">
        <v>353</v>
      </c>
      <c r="D24" s="99" t="s">
        <v>304</v>
      </c>
      <c r="E24" s="99" t="s">
        <v>198</v>
      </c>
      <c r="F24" s="99" t="s">
        <v>214</v>
      </c>
      <c r="G24" s="100" t="s">
        <v>265</v>
      </c>
      <c r="H24" s="101">
        <v>45575.0</v>
      </c>
      <c r="I24" s="102" t="s">
        <v>31</v>
      </c>
      <c r="J24" s="99"/>
      <c r="K24" s="104"/>
    </row>
    <row r="25">
      <c r="A25" s="105">
        <v>21.0</v>
      </c>
      <c r="B25" s="99" t="s">
        <v>351</v>
      </c>
      <c r="C25" s="99" t="s">
        <v>213</v>
      </c>
      <c r="D25" s="99" t="s">
        <v>229</v>
      </c>
      <c r="E25" s="99" t="s">
        <v>198</v>
      </c>
      <c r="F25" s="99" t="s">
        <v>214</v>
      </c>
      <c r="G25" s="100" t="s">
        <v>268</v>
      </c>
      <c r="H25" s="101">
        <v>45573.0</v>
      </c>
      <c r="I25" s="102" t="s">
        <v>31</v>
      </c>
      <c r="J25" s="99"/>
      <c r="K25" s="104"/>
    </row>
    <row r="26">
      <c r="A26" s="105">
        <v>22.0</v>
      </c>
      <c r="B26" s="99" t="s">
        <v>351</v>
      </c>
      <c r="C26" s="99" t="s">
        <v>213</v>
      </c>
      <c r="D26" s="99" t="s">
        <v>254</v>
      </c>
      <c r="E26" s="99" t="s">
        <v>198</v>
      </c>
      <c r="F26" s="99" t="s">
        <v>214</v>
      </c>
      <c r="G26" s="100" t="s">
        <v>270</v>
      </c>
      <c r="H26" s="101">
        <v>45573.0</v>
      </c>
      <c r="I26" s="102" t="s">
        <v>31</v>
      </c>
      <c r="J26" s="99"/>
      <c r="K26" s="104"/>
    </row>
    <row r="27">
      <c r="A27" s="105">
        <v>23.0</v>
      </c>
      <c r="B27" s="99" t="s">
        <v>351</v>
      </c>
      <c r="C27" s="99" t="s">
        <v>213</v>
      </c>
      <c r="D27" s="99" t="s">
        <v>304</v>
      </c>
      <c r="E27" s="99" t="s">
        <v>198</v>
      </c>
      <c r="F27" s="99" t="s">
        <v>214</v>
      </c>
      <c r="G27" s="100" t="s">
        <v>273</v>
      </c>
      <c r="H27" s="101">
        <v>45573.0</v>
      </c>
      <c r="I27" s="102" t="s">
        <v>31</v>
      </c>
      <c r="J27" s="99"/>
      <c r="K27" s="104"/>
    </row>
    <row r="28">
      <c r="A28" s="105">
        <v>24.0</v>
      </c>
      <c r="B28" s="99" t="s">
        <v>351</v>
      </c>
      <c r="C28" s="99" t="s">
        <v>342</v>
      </c>
      <c r="D28" s="99" t="s">
        <v>229</v>
      </c>
      <c r="E28" s="99" t="s">
        <v>198</v>
      </c>
      <c r="F28" s="99" t="s">
        <v>214</v>
      </c>
      <c r="G28" s="100" t="s">
        <v>275</v>
      </c>
      <c r="H28" s="101">
        <v>45575.0</v>
      </c>
      <c r="I28" s="102" t="s">
        <v>31</v>
      </c>
      <c r="J28" s="99"/>
      <c r="K28" s="104"/>
    </row>
    <row r="29">
      <c r="A29" s="105">
        <v>25.0</v>
      </c>
      <c r="B29" s="99" t="s">
        <v>351</v>
      </c>
      <c r="C29" s="99" t="s">
        <v>342</v>
      </c>
      <c r="D29" s="99" t="s">
        <v>254</v>
      </c>
      <c r="E29" s="99" t="s">
        <v>198</v>
      </c>
      <c r="F29" s="99" t="s">
        <v>214</v>
      </c>
      <c r="G29" s="100" t="s">
        <v>277</v>
      </c>
      <c r="H29" s="101">
        <v>45575.0</v>
      </c>
      <c r="I29" s="102" t="s">
        <v>31</v>
      </c>
      <c r="J29" s="99"/>
      <c r="K29" s="104"/>
    </row>
    <row r="30">
      <c r="A30" s="105">
        <v>26.0</v>
      </c>
      <c r="B30" s="99" t="s">
        <v>351</v>
      </c>
      <c r="C30" s="99" t="s">
        <v>342</v>
      </c>
      <c r="D30" s="99" t="s">
        <v>304</v>
      </c>
      <c r="E30" s="99" t="s">
        <v>198</v>
      </c>
      <c r="F30" s="99" t="s">
        <v>214</v>
      </c>
      <c r="G30" s="100" t="s">
        <v>280</v>
      </c>
      <c r="H30" s="101">
        <v>45575.0</v>
      </c>
      <c r="I30" s="102" t="s">
        <v>31</v>
      </c>
      <c r="J30" s="99"/>
      <c r="K30" s="104"/>
    </row>
    <row r="31">
      <c r="A31" s="105">
        <v>27.0</v>
      </c>
      <c r="B31" s="99" t="s">
        <v>351</v>
      </c>
      <c r="C31" s="99" t="s">
        <v>354</v>
      </c>
      <c r="D31" s="99" t="s">
        <v>229</v>
      </c>
      <c r="E31" s="99" t="s">
        <v>198</v>
      </c>
      <c r="F31" s="99" t="s">
        <v>214</v>
      </c>
      <c r="G31" s="100" t="s">
        <v>281</v>
      </c>
      <c r="H31" s="101">
        <v>45573.0</v>
      </c>
      <c r="I31" s="102" t="s">
        <v>31</v>
      </c>
      <c r="J31" s="99"/>
      <c r="K31" s="104"/>
    </row>
    <row r="32">
      <c r="A32" s="105">
        <v>28.0</v>
      </c>
      <c r="B32" s="99" t="s">
        <v>351</v>
      </c>
      <c r="C32" s="99" t="s">
        <v>354</v>
      </c>
      <c r="D32" s="99" t="s">
        <v>254</v>
      </c>
      <c r="E32" s="99" t="s">
        <v>198</v>
      </c>
      <c r="F32" s="99" t="s">
        <v>214</v>
      </c>
      <c r="G32" s="100" t="s">
        <v>284</v>
      </c>
      <c r="H32" s="101">
        <v>45573.0</v>
      </c>
      <c r="I32" s="102" t="s">
        <v>31</v>
      </c>
      <c r="J32" s="99"/>
      <c r="K32" s="104"/>
    </row>
    <row r="33">
      <c r="A33" s="105">
        <v>29.0</v>
      </c>
      <c r="B33" s="99" t="s">
        <v>351</v>
      </c>
      <c r="C33" s="99" t="s">
        <v>355</v>
      </c>
      <c r="D33" s="99" t="s">
        <v>229</v>
      </c>
      <c r="E33" s="99" t="s">
        <v>198</v>
      </c>
      <c r="F33" s="99" t="s">
        <v>214</v>
      </c>
      <c r="G33" s="100" t="s">
        <v>287</v>
      </c>
      <c r="H33" s="101">
        <v>45573.0</v>
      </c>
      <c r="I33" s="102" t="s">
        <v>31</v>
      </c>
      <c r="J33" s="99"/>
      <c r="K33" s="104"/>
    </row>
    <row r="34">
      <c r="A34" s="105">
        <v>30.0</v>
      </c>
      <c r="B34" s="99" t="s">
        <v>356</v>
      </c>
      <c r="C34" s="99" t="s">
        <v>233</v>
      </c>
      <c r="D34" s="99" t="s">
        <v>229</v>
      </c>
      <c r="E34" s="99" t="s">
        <v>198</v>
      </c>
      <c r="F34" s="99" t="s">
        <v>214</v>
      </c>
      <c r="G34" s="100" t="s">
        <v>292</v>
      </c>
      <c r="H34" s="101">
        <v>45574.0</v>
      </c>
      <c r="I34" s="102" t="s">
        <v>31</v>
      </c>
      <c r="J34" s="99"/>
      <c r="K34" s="104"/>
    </row>
    <row r="35">
      <c r="A35" s="105">
        <v>31.0</v>
      </c>
      <c r="B35" s="99" t="s">
        <v>356</v>
      </c>
      <c r="C35" s="99" t="s">
        <v>233</v>
      </c>
      <c r="D35" s="99" t="s">
        <v>254</v>
      </c>
      <c r="E35" s="99" t="s">
        <v>198</v>
      </c>
      <c r="F35" s="99" t="s">
        <v>214</v>
      </c>
      <c r="G35" s="100" t="s">
        <v>295</v>
      </c>
      <c r="H35" s="101">
        <v>45575.0</v>
      </c>
      <c r="I35" s="102" t="s">
        <v>31</v>
      </c>
      <c r="J35" s="99"/>
      <c r="K35" s="104"/>
    </row>
    <row r="36">
      <c r="A36" s="105">
        <v>32.0</v>
      </c>
      <c r="B36" s="99" t="s">
        <v>356</v>
      </c>
      <c r="C36" s="99" t="s">
        <v>233</v>
      </c>
      <c r="D36" s="99" t="s">
        <v>304</v>
      </c>
      <c r="E36" s="99" t="s">
        <v>198</v>
      </c>
      <c r="F36" s="99" t="s">
        <v>214</v>
      </c>
      <c r="G36" s="100" t="s">
        <v>296</v>
      </c>
      <c r="H36" s="101">
        <v>45574.0</v>
      </c>
      <c r="I36" s="102" t="s">
        <v>31</v>
      </c>
      <c r="J36" s="99"/>
      <c r="K36" s="104"/>
    </row>
    <row r="37">
      <c r="A37" s="105">
        <v>33.0</v>
      </c>
      <c r="B37" s="99" t="s">
        <v>356</v>
      </c>
      <c r="C37" s="99" t="s">
        <v>233</v>
      </c>
      <c r="D37" s="99" t="s">
        <v>335</v>
      </c>
      <c r="E37" s="99" t="s">
        <v>198</v>
      </c>
      <c r="F37" s="99" t="s">
        <v>214</v>
      </c>
      <c r="G37" s="100" t="s">
        <v>298</v>
      </c>
      <c r="H37" s="101">
        <v>45575.0</v>
      </c>
      <c r="I37" s="102" t="s">
        <v>31</v>
      </c>
      <c r="J37" s="99"/>
      <c r="K37" s="104"/>
    </row>
    <row r="38">
      <c r="A38" s="106">
        <v>34.0</v>
      </c>
      <c r="B38" s="99" t="s">
        <v>356</v>
      </c>
      <c r="C38" s="99" t="s">
        <v>357</v>
      </c>
      <c r="D38" s="99" t="s">
        <v>229</v>
      </c>
      <c r="E38" s="99" t="s">
        <v>198</v>
      </c>
      <c r="F38" s="99" t="s">
        <v>214</v>
      </c>
      <c r="G38" s="100" t="s">
        <v>299</v>
      </c>
      <c r="H38" s="101">
        <v>45575.0</v>
      </c>
      <c r="I38" s="102" t="s">
        <v>31</v>
      </c>
      <c r="J38" s="99"/>
      <c r="K38" s="104"/>
    </row>
    <row r="39">
      <c r="A39" s="106">
        <v>35.0</v>
      </c>
      <c r="B39" s="99" t="s">
        <v>356</v>
      </c>
      <c r="C39" s="99" t="s">
        <v>357</v>
      </c>
      <c r="D39" s="99" t="s">
        <v>254</v>
      </c>
      <c r="E39" s="99" t="s">
        <v>198</v>
      </c>
      <c r="F39" s="99" t="s">
        <v>214</v>
      </c>
      <c r="G39" s="100" t="s">
        <v>302</v>
      </c>
      <c r="H39" s="101">
        <v>45575.0</v>
      </c>
      <c r="I39" s="102" t="s">
        <v>31</v>
      </c>
      <c r="J39" s="99"/>
      <c r="K39" s="104"/>
    </row>
    <row r="40">
      <c r="A40" s="106">
        <v>36.0</v>
      </c>
      <c r="B40" s="99" t="s">
        <v>356</v>
      </c>
      <c r="C40" s="99" t="s">
        <v>251</v>
      </c>
      <c r="D40" s="99" t="s">
        <v>229</v>
      </c>
      <c r="E40" s="99" t="s">
        <v>198</v>
      </c>
      <c r="F40" s="99" t="s">
        <v>214</v>
      </c>
      <c r="G40" s="100" t="s">
        <v>358</v>
      </c>
      <c r="H40" s="101">
        <v>45574.0</v>
      </c>
      <c r="I40" s="102" t="s">
        <v>31</v>
      </c>
      <c r="J40" s="104"/>
      <c r="K40" s="104"/>
    </row>
    <row r="41">
      <c r="A41" s="106">
        <v>37.0</v>
      </c>
      <c r="B41" s="99" t="s">
        <v>356</v>
      </c>
      <c r="C41" s="99" t="s">
        <v>251</v>
      </c>
      <c r="D41" s="99" t="s">
        <v>254</v>
      </c>
      <c r="E41" s="99" t="s">
        <v>198</v>
      </c>
      <c r="F41" s="99" t="s">
        <v>214</v>
      </c>
      <c r="G41" s="100" t="s">
        <v>359</v>
      </c>
      <c r="H41" s="101">
        <v>45574.0</v>
      </c>
      <c r="I41" s="102" t="s">
        <v>31</v>
      </c>
      <c r="J41" s="104"/>
      <c r="K41" s="104"/>
    </row>
    <row r="42">
      <c r="A42" s="106">
        <v>38.0</v>
      </c>
      <c r="B42" s="99" t="s">
        <v>356</v>
      </c>
      <c r="C42" s="99" t="s">
        <v>251</v>
      </c>
      <c r="D42" s="99" t="s">
        <v>304</v>
      </c>
      <c r="E42" s="99" t="s">
        <v>198</v>
      </c>
      <c r="F42" s="99" t="s">
        <v>214</v>
      </c>
      <c r="G42" s="100" t="s">
        <v>360</v>
      </c>
      <c r="H42" s="101">
        <v>45572.0</v>
      </c>
      <c r="I42" s="102" t="s">
        <v>31</v>
      </c>
      <c r="J42" s="104"/>
      <c r="K42" s="104"/>
    </row>
    <row r="43">
      <c r="A43" s="106">
        <v>39.0</v>
      </c>
      <c r="B43" s="99" t="s">
        <v>356</v>
      </c>
      <c r="C43" s="99" t="s">
        <v>251</v>
      </c>
      <c r="D43" s="99" t="s">
        <v>335</v>
      </c>
      <c r="E43" s="99" t="s">
        <v>198</v>
      </c>
      <c r="F43" s="99" t="s">
        <v>214</v>
      </c>
      <c r="G43" s="100" t="s">
        <v>361</v>
      </c>
      <c r="H43" s="101">
        <v>45575.0</v>
      </c>
      <c r="I43" s="102" t="s">
        <v>31</v>
      </c>
      <c r="J43" s="104"/>
      <c r="K43" s="104"/>
    </row>
    <row r="44">
      <c r="A44" s="106">
        <v>40.0</v>
      </c>
      <c r="B44" s="99" t="s">
        <v>356</v>
      </c>
      <c r="C44" s="99" t="s">
        <v>251</v>
      </c>
      <c r="D44" s="99" t="s">
        <v>362</v>
      </c>
      <c r="E44" s="99" t="s">
        <v>198</v>
      </c>
      <c r="F44" s="99" t="s">
        <v>214</v>
      </c>
      <c r="G44" s="100" t="s">
        <v>363</v>
      </c>
      <c r="H44" s="101">
        <v>45575.0</v>
      </c>
      <c r="I44" s="102" t="s">
        <v>31</v>
      </c>
      <c r="J44" s="99"/>
      <c r="K44" s="104"/>
    </row>
    <row r="45">
      <c r="A45" s="106">
        <v>41.0</v>
      </c>
      <c r="B45" s="99" t="s">
        <v>356</v>
      </c>
      <c r="C45" s="99" t="s">
        <v>222</v>
      </c>
      <c r="D45" s="99" t="s">
        <v>229</v>
      </c>
      <c r="E45" s="99" t="s">
        <v>198</v>
      </c>
      <c r="F45" s="99" t="s">
        <v>214</v>
      </c>
      <c r="G45" s="100" t="s">
        <v>364</v>
      </c>
      <c r="H45" s="101">
        <v>45574.0</v>
      </c>
      <c r="I45" s="102" t="s">
        <v>31</v>
      </c>
      <c r="J45" s="99"/>
      <c r="K45" s="104"/>
    </row>
    <row r="46">
      <c r="A46" s="105">
        <v>42.0</v>
      </c>
      <c r="B46" s="99" t="s">
        <v>356</v>
      </c>
      <c r="C46" s="99" t="s">
        <v>222</v>
      </c>
      <c r="D46" s="99" t="s">
        <v>254</v>
      </c>
      <c r="E46" s="99" t="s">
        <v>198</v>
      </c>
      <c r="F46" s="99" t="s">
        <v>214</v>
      </c>
      <c r="G46" s="100" t="s">
        <v>365</v>
      </c>
      <c r="H46" s="101">
        <v>45574.0</v>
      </c>
      <c r="I46" s="102" t="s">
        <v>31</v>
      </c>
      <c r="J46" s="99"/>
      <c r="K46" s="104"/>
    </row>
    <row r="47">
      <c r="A47" s="106">
        <v>43.0</v>
      </c>
      <c r="B47" s="99" t="s">
        <v>356</v>
      </c>
      <c r="C47" s="99" t="s">
        <v>366</v>
      </c>
      <c r="D47" s="99" t="s">
        <v>229</v>
      </c>
      <c r="E47" s="99" t="s">
        <v>198</v>
      </c>
      <c r="F47" s="99" t="s">
        <v>214</v>
      </c>
      <c r="G47" s="100" t="s">
        <v>367</v>
      </c>
      <c r="H47" s="101">
        <v>45575.0</v>
      </c>
      <c r="I47" s="102" t="s">
        <v>31</v>
      </c>
      <c r="J47" s="99"/>
      <c r="K47" s="104"/>
    </row>
    <row r="48">
      <c r="A48" s="106">
        <v>44.0</v>
      </c>
      <c r="B48" s="99" t="s">
        <v>356</v>
      </c>
      <c r="C48" s="99" t="s">
        <v>366</v>
      </c>
      <c r="D48" s="99" t="s">
        <v>254</v>
      </c>
      <c r="E48" s="99" t="s">
        <v>198</v>
      </c>
      <c r="F48" s="99" t="s">
        <v>214</v>
      </c>
      <c r="G48" s="100" t="s">
        <v>368</v>
      </c>
      <c r="H48" s="101">
        <v>45575.0</v>
      </c>
      <c r="I48" s="102" t="s">
        <v>31</v>
      </c>
      <c r="J48" s="99"/>
      <c r="K48" s="104"/>
    </row>
    <row r="49">
      <c r="A49" s="106">
        <v>45.0</v>
      </c>
      <c r="B49" s="99" t="s">
        <v>356</v>
      </c>
      <c r="C49" s="99" t="s">
        <v>369</v>
      </c>
      <c r="D49" s="99" t="s">
        <v>229</v>
      </c>
      <c r="E49" s="99" t="s">
        <v>198</v>
      </c>
      <c r="F49" s="99" t="s">
        <v>214</v>
      </c>
      <c r="G49" s="100" t="s">
        <v>370</v>
      </c>
      <c r="H49" s="101">
        <v>45575.0</v>
      </c>
      <c r="I49" s="102" t="s">
        <v>31</v>
      </c>
      <c r="J49" s="99"/>
      <c r="K49" s="104"/>
    </row>
    <row r="50">
      <c r="A50" s="106">
        <v>46.0</v>
      </c>
      <c r="B50" s="99" t="s">
        <v>356</v>
      </c>
      <c r="C50" s="99" t="s">
        <v>369</v>
      </c>
      <c r="D50" s="99" t="s">
        <v>254</v>
      </c>
      <c r="E50" s="99" t="s">
        <v>198</v>
      </c>
      <c r="F50" s="99" t="s">
        <v>214</v>
      </c>
      <c r="G50" s="100" t="s">
        <v>371</v>
      </c>
      <c r="H50" s="101">
        <v>45575.0</v>
      </c>
      <c r="I50" s="102" t="s">
        <v>31</v>
      </c>
      <c r="J50" s="104"/>
      <c r="K50" s="104"/>
    </row>
    <row r="51">
      <c r="A51" s="106">
        <v>47.0</v>
      </c>
      <c r="B51" s="99" t="s">
        <v>356</v>
      </c>
      <c r="C51" s="99" t="s">
        <v>369</v>
      </c>
      <c r="D51" s="99" t="s">
        <v>304</v>
      </c>
      <c r="E51" s="99" t="s">
        <v>198</v>
      </c>
      <c r="F51" s="99" t="s">
        <v>214</v>
      </c>
      <c r="G51" s="100" t="s">
        <v>372</v>
      </c>
      <c r="H51" s="101">
        <v>45575.0</v>
      </c>
      <c r="I51" s="102" t="s">
        <v>31</v>
      </c>
      <c r="J51" s="104"/>
      <c r="K51" s="104"/>
    </row>
    <row r="52">
      <c r="A52" s="106">
        <v>48.0</v>
      </c>
      <c r="B52" s="99" t="s">
        <v>356</v>
      </c>
      <c r="C52" s="99" t="s">
        <v>369</v>
      </c>
      <c r="D52" s="99" t="s">
        <v>335</v>
      </c>
      <c r="E52" s="99" t="s">
        <v>198</v>
      </c>
      <c r="F52" s="99" t="s">
        <v>214</v>
      </c>
      <c r="G52" s="100" t="s">
        <v>373</v>
      </c>
      <c r="H52" s="101">
        <v>45574.0</v>
      </c>
      <c r="I52" s="102" t="s">
        <v>31</v>
      </c>
      <c r="J52" s="104"/>
      <c r="K52" s="104"/>
    </row>
    <row r="53">
      <c r="A53" s="106">
        <v>49.0</v>
      </c>
      <c r="B53" s="99" t="s">
        <v>356</v>
      </c>
      <c r="C53" s="99" t="s">
        <v>337</v>
      </c>
      <c r="D53" s="99" t="s">
        <v>229</v>
      </c>
      <c r="E53" s="99" t="s">
        <v>198</v>
      </c>
      <c r="F53" s="99" t="s">
        <v>214</v>
      </c>
      <c r="G53" s="100" t="s">
        <v>374</v>
      </c>
      <c r="H53" s="101">
        <v>45575.0</v>
      </c>
      <c r="I53" s="102" t="s">
        <v>31</v>
      </c>
      <c r="J53" s="104"/>
      <c r="K53" s="104"/>
    </row>
    <row r="54">
      <c r="A54" s="106">
        <v>50.0</v>
      </c>
      <c r="B54" s="99" t="s">
        <v>356</v>
      </c>
      <c r="C54" s="99" t="s">
        <v>337</v>
      </c>
      <c r="D54" s="99" t="s">
        <v>254</v>
      </c>
      <c r="E54" s="99" t="s">
        <v>198</v>
      </c>
      <c r="F54" s="99" t="s">
        <v>214</v>
      </c>
      <c r="G54" s="100" t="s">
        <v>375</v>
      </c>
      <c r="H54" s="101">
        <v>45575.0</v>
      </c>
      <c r="I54" s="102" t="s">
        <v>31</v>
      </c>
      <c r="J54" s="104"/>
      <c r="K54" s="104"/>
    </row>
    <row r="55">
      <c r="A55" s="106">
        <v>51.0</v>
      </c>
      <c r="B55" s="99" t="s">
        <v>356</v>
      </c>
      <c r="C55" s="99" t="s">
        <v>337</v>
      </c>
      <c r="D55" s="99" t="s">
        <v>304</v>
      </c>
      <c r="E55" s="99" t="s">
        <v>198</v>
      </c>
      <c r="F55" s="99" t="s">
        <v>214</v>
      </c>
      <c r="G55" s="100" t="s">
        <v>376</v>
      </c>
      <c r="H55" s="101">
        <v>45575.0</v>
      </c>
      <c r="I55" s="102" t="s">
        <v>31</v>
      </c>
      <c r="J55" s="104"/>
      <c r="K55" s="104"/>
    </row>
    <row r="56">
      <c r="A56" s="106">
        <v>52.0</v>
      </c>
      <c r="B56" s="99" t="s">
        <v>356</v>
      </c>
      <c r="C56" s="99" t="s">
        <v>337</v>
      </c>
      <c r="D56" s="99" t="s">
        <v>335</v>
      </c>
      <c r="E56" s="99" t="s">
        <v>198</v>
      </c>
      <c r="F56" s="99" t="s">
        <v>214</v>
      </c>
      <c r="G56" s="100" t="s">
        <v>377</v>
      </c>
      <c r="H56" s="101">
        <v>45574.0</v>
      </c>
      <c r="I56" s="102" t="s">
        <v>31</v>
      </c>
      <c r="J56" s="104"/>
      <c r="K56" s="104"/>
    </row>
    <row r="57">
      <c r="A57" s="106">
        <v>53.0</v>
      </c>
      <c r="B57" s="99" t="s">
        <v>356</v>
      </c>
      <c r="C57" s="99" t="s">
        <v>378</v>
      </c>
      <c r="D57" s="99" t="s">
        <v>229</v>
      </c>
      <c r="E57" s="99" t="s">
        <v>198</v>
      </c>
      <c r="F57" s="99" t="s">
        <v>214</v>
      </c>
      <c r="G57" s="100" t="s">
        <v>379</v>
      </c>
      <c r="H57" s="101">
        <v>45575.0</v>
      </c>
      <c r="I57" s="102" t="s">
        <v>31</v>
      </c>
      <c r="J57" s="104"/>
      <c r="K57" s="104"/>
    </row>
    <row r="58">
      <c r="A58" s="106">
        <v>54.0</v>
      </c>
      <c r="B58" s="99" t="s">
        <v>356</v>
      </c>
      <c r="C58" s="99" t="s">
        <v>378</v>
      </c>
      <c r="D58" s="99" t="s">
        <v>254</v>
      </c>
      <c r="E58" s="99" t="s">
        <v>198</v>
      </c>
      <c r="F58" s="99" t="s">
        <v>214</v>
      </c>
      <c r="G58" s="100" t="s">
        <v>380</v>
      </c>
      <c r="H58" s="101">
        <v>45575.0</v>
      </c>
      <c r="I58" s="102" t="s">
        <v>31</v>
      </c>
      <c r="J58" s="104"/>
      <c r="K58" s="104"/>
    </row>
    <row r="59">
      <c r="A59" s="106">
        <v>55.0</v>
      </c>
      <c r="B59" s="99" t="s">
        <v>199</v>
      </c>
      <c r="C59" s="99" t="s">
        <v>269</v>
      </c>
      <c r="D59" s="99" t="s">
        <v>229</v>
      </c>
      <c r="E59" s="99" t="s">
        <v>198</v>
      </c>
      <c r="F59" s="99" t="s">
        <v>214</v>
      </c>
      <c r="G59" s="100" t="s">
        <v>381</v>
      </c>
      <c r="H59" s="101">
        <v>45574.0</v>
      </c>
      <c r="I59" s="102" t="s">
        <v>31</v>
      </c>
      <c r="J59" s="104"/>
      <c r="K59" s="104"/>
    </row>
    <row r="60">
      <c r="A60" s="106">
        <v>56.0</v>
      </c>
      <c r="B60" s="99" t="s">
        <v>199</v>
      </c>
      <c r="C60" s="99" t="s">
        <v>269</v>
      </c>
      <c r="D60" s="99" t="s">
        <v>254</v>
      </c>
      <c r="E60" s="99" t="s">
        <v>198</v>
      </c>
      <c r="F60" s="99" t="s">
        <v>214</v>
      </c>
      <c r="G60" s="100" t="s">
        <v>382</v>
      </c>
      <c r="H60" s="101">
        <v>45574.0</v>
      </c>
      <c r="I60" s="102" t="s">
        <v>31</v>
      </c>
      <c r="J60" s="104"/>
      <c r="K60" s="104"/>
    </row>
    <row r="61">
      <c r="A61" s="106">
        <v>57.0</v>
      </c>
      <c r="B61" s="99" t="s">
        <v>199</v>
      </c>
      <c r="C61" s="99" t="s">
        <v>269</v>
      </c>
      <c r="D61" s="99" t="s">
        <v>304</v>
      </c>
      <c r="E61" s="99" t="s">
        <v>198</v>
      </c>
      <c r="F61" s="99" t="s">
        <v>214</v>
      </c>
      <c r="G61" s="100" t="s">
        <v>383</v>
      </c>
      <c r="H61" s="101">
        <v>45574.0</v>
      </c>
      <c r="I61" s="102" t="s">
        <v>31</v>
      </c>
      <c r="J61" s="104"/>
      <c r="K61" s="104"/>
    </row>
    <row r="62">
      <c r="A62" s="106">
        <v>58.0</v>
      </c>
      <c r="B62" s="99" t="s">
        <v>199</v>
      </c>
      <c r="C62" s="99" t="s">
        <v>269</v>
      </c>
      <c r="D62" s="99" t="s">
        <v>335</v>
      </c>
      <c r="E62" s="99" t="s">
        <v>198</v>
      </c>
      <c r="F62" s="99" t="s">
        <v>214</v>
      </c>
      <c r="G62" s="100" t="s">
        <v>384</v>
      </c>
      <c r="H62" s="101">
        <v>45575.0</v>
      </c>
      <c r="I62" s="102" t="s">
        <v>31</v>
      </c>
      <c r="J62" s="104"/>
      <c r="K62" s="104"/>
    </row>
    <row r="63">
      <c r="A63" s="106">
        <v>59.0</v>
      </c>
      <c r="B63" s="99" t="s">
        <v>199</v>
      </c>
      <c r="C63" s="99" t="s">
        <v>269</v>
      </c>
      <c r="D63" s="99" t="s">
        <v>362</v>
      </c>
      <c r="E63" s="99" t="s">
        <v>198</v>
      </c>
      <c r="F63" s="99" t="s">
        <v>214</v>
      </c>
      <c r="G63" s="100" t="s">
        <v>385</v>
      </c>
      <c r="H63" s="101">
        <v>45574.0</v>
      </c>
      <c r="I63" s="102" t="s">
        <v>31</v>
      </c>
      <c r="J63" s="104"/>
      <c r="K63" s="104"/>
    </row>
    <row r="64">
      <c r="A64" s="106">
        <v>60.0</v>
      </c>
      <c r="B64" s="99" t="s">
        <v>199</v>
      </c>
      <c r="C64" s="99" t="s">
        <v>272</v>
      </c>
      <c r="D64" s="99" t="s">
        <v>229</v>
      </c>
      <c r="E64" s="99" t="s">
        <v>198</v>
      </c>
      <c r="F64" s="99" t="s">
        <v>214</v>
      </c>
      <c r="G64" s="100" t="s">
        <v>386</v>
      </c>
      <c r="H64" s="101">
        <v>45574.0</v>
      </c>
      <c r="I64" s="102" t="s">
        <v>31</v>
      </c>
      <c r="J64" s="104"/>
      <c r="K64" s="104"/>
    </row>
    <row r="65">
      <c r="A65" s="106">
        <v>61.0</v>
      </c>
      <c r="B65" s="99" t="s">
        <v>199</v>
      </c>
      <c r="C65" s="99" t="s">
        <v>272</v>
      </c>
      <c r="D65" s="99" t="s">
        <v>254</v>
      </c>
      <c r="E65" s="99" t="s">
        <v>198</v>
      </c>
      <c r="F65" s="99" t="s">
        <v>214</v>
      </c>
      <c r="G65" s="100" t="s">
        <v>387</v>
      </c>
      <c r="H65" s="101">
        <v>45574.0</v>
      </c>
      <c r="I65" s="102" t="s">
        <v>31</v>
      </c>
      <c r="J65" s="104"/>
      <c r="K65" s="104"/>
    </row>
    <row r="66">
      <c r="A66" s="106">
        <v>62.0</v>
      </c>
      <c r="B66" s="99" t="s">
        <v>199</v>
      </c>
      <c r="C66" s="99" t="s">
        <v>274</v>
      </c>
      <c r="D66" s="99" t="s">
        <v>229</v>
      </c>
      <c r="E66" s="99" t="s">
        <v>198</v>
      </c>
      <c r="F66" s="99" t="s">
        <v>214</v>
      </c>
      <c r="G66" s="100" t="s">
        <v>388</v>
      </c>
      <c r="H66" s="101">
        <v>45575.0</v>
      </c>
      <c r="I66" s="102" t="s">
        <v>31</v>
      </c>
      <c r="J66" s="104"/>
      <c r="K66" s="104"/>
    </row>
    <row r="67">
      <c r="A67" s="106">
        <v>63.0</v>
      </c>
      <c r="B67" s="99" t="s">
        <v>199</v>
      </c>
      <c r="C67" s="99" t="s">
        <v>274</v>
      </c>
      <c r="D67" s="99" t="s">
        <v>254</v>
      </c>
      <c r="E67" s="99" t="s">
        <v>198</v>
      </c>
      <c r="F67" s="99" t="s">
        <v>214</v>
      </c>
      <c r="G67" s="100" t="s">
        <v>389</v>
      </c>
      <c r="H67" s="101">
        <v>45575.0</v>
      </c>
      <c r="I67" s="102" t="s">
        <v>31</v>
      </c>
      <c r="J67" s="104"/>
      <c r="K67" s="104"/>
    </row>
    <row r="68">
      <c r="A68" s="106">
        <v>64.0</v>
      </c>
      <c r="B68" s="99" t="s">
        <v>199</v>
      </c>
      <c r="C68" s="99" t="s">
        <v>274</v>
      </c>
      <c r="D68" s="99" t="s">
        <v>304</v>
      </c>
      <c r="E68" s="99" t="s">
        <v>198</v>
      </c>
      <c r="F68" s="99" t="s">
        <v>214</v>
      </c>
      <c r="G68" s="100" t="s">
        <v>390</v>
      </c>
      <c r="H68" s="101">
        <v>45574.0</v>
      </c>
      <c r="I68" s="102" t="s">
        <v>31</v>
      </c>
      <c r="J68" s="104"/>
      <c r="K68" s="104"/>
    </row>
    <row r="69">
      <c r="A69" s="106">
        <v>65.0</v>
      </c>
      <c r="B69" s="99" t="s">
        <v>199</v>
      </c>
      <c r="C69" s="99" t="s">
        <v>274</v>
      </c>
      <c r="D69" s="99" t="s">
        <v>335</v>
      </c>
      <c r="E69" s="99" t="s">
        <v>198</v>
      </c>
      <c r="F69" s="99" t="s">
        <v>214</v>
      </c>
      <c r="G69" s="100" t="s">
        <v>391</v>
      </c>
      <c r="H69" s="101">
        <v>45575.0</v>
      </c>
      <c r="I69" s="102" t="s">
        <v>31</v>
      </c>
      <c r="J69" s="104"/>
      <c r="K69" s="104"/>
    </row>
    <row r="70">
      <c r="A70" s="106">
        <v>66.0</v>
      </c>
      <c r="B70" s="99" t="s">
        <v>199</v>
      </c>
      <c r="C70" s="99" t="s">
        <v>282</v>
      </c>
      <c r="D70" s="99" t="s">
        <v>229</v>
      </c>
      <c r="E70" s="99" t="s">
        <v>198</v>
      </c>
      <c r="F70" s="99" t="s">
        <v>214</v>
      </c>
      <c r="G70" s="100" t="s">
        <v>392</v>
      </c>
      <c r="H70" s="101">
        <v>45575.0</v>
      </c>
      <c r="I70" s="102" t="s">
        <v>31</v>
      </c>
      <c r="J70" s="104"/>
      <c r="K70" s="104"/>
    </row>
    <row r="71">
      <c r="A71" s="106">
        <v>67.0</v>
      </c>
      <c r="B71" s="99" t="s">
        <v>199</v>
      </c>
      <c r="C71" s="99" t="s">
        <v>282</v>
      </c>
      <c r="D71" s="99" t="s">
        <v>254</v>
      </c>
      <c r="E71" s="99" t="s">
        <v>198</v>
      </c>
      <c r="F71" s="99" t="s">
        <v>214</v>
      </c>
      <c r="G71" s="100" t="s">
        <v>393</v>
      </c>
      <c r="H71" s="101">
        <v>45575.0</v>
      </c>
      <c r="I71" s="102" t="s">
        <v>31</v>
      </c>
      <c r="J71" s="104"/>
      <c r="K71" s="104"/>
    </row>
    <row r="72">
      <c r="A72" s="106">
        <v>68.0</v>
      </c>
      <c r="B72" s="99" t="s">
        <v>199</v>
      </c>
      <c r="C72" s="99" t="s">
        <v>282</v>
      </c>
      <c r="D72" s="99" t="s">
        <v>304</v>
      </c>
      <c r="E72" s="99" t="s">
        <v>198</v>
      </c>
      <c r="F72" s="99" t="s">
        <v>214</v>
      </c>
      <c r="G72" s="100" t="s">
        <v>394</v>
      </c>
      <c r="H72" s="101">
        <v>45575.0</v>
      </c>
      <c r="I72" s="102" t="s">
        <v>31</v>
      </c>
      <c r="J72" s="104"/>
      <c r="K72" s="104"/>
    </row>
    <row r="73">
      <c r="A73" s="106">
        <v>69.0</v>
      </c>
      <c r="B73" s="99" t="s">
        <v>199</v>
      </c>
      <c r="C73" s="99" t="s">
        <v>282</v>
      </c>
      <c r="D73" s="99" t="s">
        <v>335</v>
      </c>
      <c r="E73" s="99" t="s">
        <v>198</v>
      </c>
      <c r="F73" s="99" t="s">
        <v>214</v>
      </c>
      <c r="G73" s="100" t="s">
        <v>395</v>
      </c>
      <c r="H73" s="101">
        <v>45574.0</v>
      </c>
      <c r="I73" s="102" t="s">
        <v>31</v>
      </c>
      <c r="J73" s="104"/>
      <c r="K73" s="104"/>
    </row>
    <row r="74">
      <c r="A74" s="106">
        <v>70.0</v>
      </c>
      <c r="B74" s="99" t="s">
        <v>199</v>
      </c>
      <c r="C74" s="99" t="s">
        <v>282</v>
      </c>
      <c r="D74" s="99" t="s">
        <v>362</v>
      </c>
      <c r="E74" s="99" t="s">
        <v>198</v>
      </c>
      <c r="F74" s="99" t="s">
        <v>214</v>
      </c>
      <c r="G74" s="100" t="s">
        <v>396</v>
      </c>
      <c r="H74" s="101">
        <v>45575.0</v>
      </c>
      <c r="I74" s="102" t="s">
        <v>31</v>
      </c>
      <c r="J74" s="104"/>
      <c r="K74" s="104"/>
    </row>
    <row r="75">
      <c r="A75" s="106">
        <v>71.0</v>
      </c>
      <c r="B75" s="99" t="s">
        <v>199</v>
      </c>
      <c r="C75" s="99" t="s">
        <v>331</v>
      </c>
      <c r="D75" s="99" t="s">
        <v>229</v>
      </c>
      <c r="E75" s="99" t="s">
        <v>198</v>
      </c>
      <c r="F75" s="99" t="s">
        <v>214</v>
      </c>
      <c r="G75" s="100" t="s">
        <v>397</v>
      </c>
      <c r="H75" s="101">
        <v>45574.0</v>
      </c>
      <c r="I75" s="102" t="s">
        <v>31</v>
      </c>
      <c r="J75" s="104"/>
      <c r="K75" s="104"/>
    </row>
    <row r="76">
      <c r="A76" s="106">
        <v>72.0</v>
      </c>
      <c r="B76" s="99" t="s">
        <v>199</v>
      </c>
      <c r="C76" s="99" t="s">
        <v>331</v>
      </c>
      <c r="D76" s="99" t="s">
        <v>254</v>
      </c>
      <c r="E76" s="99" t="s">
        <v>198</v>
      </c>
      <c r="F76" s="99" t="s">
        <v>214</v>
      </c>
      <c r="G76" s="100" t="s">
        <v>398</v>
      </c>
      <c r="H76" s="101">
        <v>45574.0</v>
      </c>
      <c r="I76" s="102" t="s">
        <v>31</v>
      </c>
      <c r="J76" s="104"/>
      <c r="K76" s="104"/>
    </row>
    <row r="77">
      <c r="A77" s="106">
        <v>73.0</v>
      </c>
      <c r="B77" s="99" t="s">
        <v>199</v>
      </c>
      <c r="C77" s="99" t="s">
        <v>331</v>
      </c>
      <c r="D77" s="99" t="s">
        <v>304</v>
      </c>
      <c r="E77" s="99" t="s">
        <v>198</v>
      </c>
      <c r="F77" s="99" t="s">
        <v>214</v>
      </c>
      <c r="G77" s="100" t="s">
        <v>399</v>
      </c>
      <c r="H77" s="101">
        <v>45574.0</v>
      </c>
      <c r="I77" s="102" t="s">
        <v>31</v>
      </c>
      <c r="J77" s="104"/>
      <c r="K77" s="104"/>
    </row>
    <row r="78">
      <c r="A78" s="106">
        <v>74.0</v>
      </c>
      <c r="B78" s="99" t="s">
        <v>199</v>
      </c>
      <c r="C78" s="99" t="s">
        <v>331</v>
      </c>
      <c r="D78" s="99" t="s">
        <v>335</v>
      </c>
      <c r="E78" s="99" t="s">
        <v>198</v>
      </c>
      <c r="F78" s="99" t="s">
        <v>214</v>
      </c>
      <c r="G78" s="100" t="s">
        <v>400</v>
      </c>
      <c r="H78" s="101">
        <v>45574.0</v>
      </c>
      <c r="I78" s="102" t="s">
        <v>31</v>
      </c>
      <c r="J78" s="104"/>
      <c r="K78" s="104"/>
    </row>
    <row r="79">
      <c r="A79" s="106">
        <v>75.0</v>
      </c>
      <c r="B79" s="99" t="s">
        <v>199</v>
      </c>
      <c r="C79" s="99" t="s">
        <v>331</v>
      </c>
      <c r="D79" s="99" t="s">
        <v>362</v>
      </c>
      <c r="E79" s="99" t="s">
        <v>198</v>
      </c>
      <c r="F79" s="99" t="s">
        <v>214</v>
      </c>
      <c r="G79" s="100" t="s">
        <v>401</v>
      </c>
      <c r="H79" s="101">
        <v>45574.0</v>
      </c>
      <c r="I79" s="102" t="s">
        <v>31</v>
      </c>
      <c r="J79" s="104"/>
      <c r="K79" s="104"/>
    </row>
    <row r="80">
      <c r="A80" s="106">
        <v>76.0</v>
      </c>
      <c r="B80" s="99" t="s">
        <v>199</v>
      </c>
      <c r="C80" s="99" t="s">
        <v>261</v>
      </c>
      <c r="D80" s="99" t="s">
        <v>229</v>
      </c>
      <c r="E80" s="99" t="s">
        <v>198</v>
      </c>
      <c r="F80" s="99" t="s">
        <v>214</v>
      </c>
      <c r="G80" s="100" t="s">
        <v>402</v>
      </c>
      <c r="H80" s="101">
        <v>45574.0</v>
      </c>
      <c r="I80" s="102" t="s">
        <v>31</v>
      </c>
      <c r="J80" s="104"/>
      <c r="K80" s="104"/>
    </row>
    <row r="81">
      <c r="A81" s="106">
        <v>77.0</v>
      </c>
      <c r="B81" s="99" t="s">
        <v>199</v>
      </c>
      <c r="C81" s="99" t="s">
        <v>261</v>
      </c>
      <c r="D81" s="99" t="s">
        <v>254</v>
      </c>
      <c r="E81" s="99" t="s">
        <v>198</v>
      </c>
      <c r="F81" s="99" t="s">
        <v>214</v>
      </c>
      <c r="G81" s="100" t="s">
        <v>403</v>
      </c>
      <c r="H81" s="101">
        <v>45574.0</v>
      </c>
      <c r="I81" s="102" t="s">
        <v>31</v>
      </c>
      <c r="J81" s="104"/>
      <c r="K81" s="104"/>
    </row>
    <row r="82">
      <c r="A82" s="106">
        <v>78.0</v>
      </c>
      <c r="B82" s="99" t="s">
        <v>199</v>
      </c>
      <c r="C82" s="99" t="s">
        <v>261</v>
      </c>
      <c r="D82" s="99" t="s">
        <v>304</v>
      </c>
      <c r="E82" s="99" t="s">
        <v>198</v>
      </c>
      <c r="F82" s="99" t="s">
        <v>214</v>
      </c>
      <c r="G82" s="100" t="s">
        <v>404</v>
      </c>
      <c r="H82" s="101">
        <v>45574.0</v>
      </c>
      <c r="I82" s="102" t="s">
        <v>31</v>
      </c>
      <c r="J82" s="104"/>
      <c r="K82" s="104"/>
    </row>
    <row r="83">
      <c r="A83" s="106">
        <v>79.0</v>
      </c>
      <c r="B83" s="99" t="s">
        <v>199</v>
      </c>
      <c r="C83" s="99" t="s">
        <v>228</v>
      </c>
      <c r="D83" s="99" t="s">
        <v>229</v>
      </c>
      <c r="E83" s="99" t="s">
        <v>198</v>
      </c>
      <c r="F83" s="99" t="s">
        <v>214</v>
      </c>
      <c r="G83" s="100" t="s">
        <v>405</v>
      </c>
      <c r="H83" s="101">
        <v>45575.0</v>
      </c>
      <c r="I83" s="102" t="s">
        <v>31</v>
      </c>
      <c r="J83" s="104"/>
      <c r="K83" s="104"/>
    </row>
    <row r="84">
      <c r="A84" s="106">
        <v>80.0</v>
      </c>
      <c r="B84" s="99" t="s">
        <v>199</v>
      </c>
      <c r="C84" s="99" t="s">
        <v>228</v>
      </c>
      <c r="D84" s="99" t="s">
        <v>254</v>
      </c>
      <c r="E84" s="99" t="s">
        <v>198</v>
      </c>
      <c r="F84" s="99" t="s">
        <v>214</v>
      </c>
      <c r="G84" s="100" t="s">
        <v>406</v>
      </c>
      <c r="H84" s="101">
        <v>45575.0</v>
      </c>
      <c r="I84" s="102" t="s">
        <v>31</v>
      </c>
      <c r="J84" s="104"/>
      <c r="K84" s="104"/>
    </row>
    <row r="85">
      <c r="A85" s="106">
        <v>81.0</v>
      </c>
      <c r="B85" s="99" t="s">
        <v>199</v>
      </c>
      <c r="C85" s="99" t="s">
        <v>228</v>
      </c>
      <c r="D85" s="99" t="s">
        <v>304</v>
      </c>
      <c r="E85" s="99" t="s">
        <v>198</v>
      </c>
      <c r="F85" s="99" t="s">
        <v>214</v>
      </c>
      <c r="G85" s="100" t="s">
        <v>407</v>
      </c>
      <c r="H85" s="101">
        <v>45575.0</v>
      </c>
      <c r="I85" s="102" t="s">
        <v>31</v>
      </c>
      <c r="J85" s="104"/>
      <c r="K85" s="104"/>
    </row>
    <row r="86">
      <c r="A86" s="106">
        <v>82.0</v>
      </c>
      <c r="B86" s="99" t="s">
        <v>199</v>
      </c>
      <c r="C86" s="99" t="s">
        <v>408</v>
      </c>
      <c r="D86" s="99" t="s">
        <v>229</v>
      </c>
      <c r="E86" s="99" t="s">
        <v>198</v>
      </c>
      <c r="F86" s="99" t="s">
        <v>214</v>
      </c>
      <c r="G86" s="100" t="s">
        <v>409</v>
      </c>
      <c r="H86" s="101">
        <v>45575.0</v>
      </c>
      <c r="I86" s="102" t="s">
        <v>31</v>
      </c>
      <c r="J86" s="104"/>
      <c r="K86" s="104"/>
    </row>
    <row r="87">
      <c r="A87" s="106">
        <v>83.0</v>
      </c>
      <c r="B87" s="99" t="s">
        <v>199</v>
      </c>
      <c r="C87" s="99" t="s">
        <v>257</v>
      </c>
      <c r="D87" s="99" t="s">
        <v>229</v>
      </c>
      <c r="E87" s="99" t="s">
        <v>198</v>
      </c>
      <c r="F87" s="99" t="s">
        <v>214</v>
      </c>
      <c r="G87" s="100" t="s">
        <v>410</v>
      </c>
      <c r="H87" s="101">
        <v>45575.0</v>
      </c>
      <c r="I87" s="102" t="s">
        <v>31</v>
      </c>
      <c r="J87" s="104"/>
      <c r="K87" s="104"/>
    </row>
    <row r="88">
      <c r="A88" s="106">
        <v>84.0</v>
      </c>
      <c r="B88" s="99" t="s">
        <v>199</v>
      </c>
      <c r="C88" s="99" t="s">
        <v>257</v>
      </c>
      <c r="D88" s="99" t="s">
        <v>254</v>
      </c>
      <c r="E88" s="99" t="s">
        <v>198</v>
      </c>
      <c r="F88" s="99" t="s">
        <v>214</v>
      </c>
      <c r="G88" s="100" t="s">
        <v>411</v>
      </c>
      <c r="H88" s="101">
        <v>45575.0</v>
      </c>
      <c r="I88" s="102" t="s">
        <v>31</v>
      </c>
      <c r="J88" s="104"/>
      <c r="K88" s="104"/>
    </row>
    <row r="89">
      <c r="A89" s="106"/>
      <c r="B89" s="99"/>
      <c r="C89" s="99"/>
      <c r="D89" s="99"/>
      <c r="E89" s="99"/>
      <c r="F89" s="99"/>
      <c r="G89" s="106"/>
      <c r="H89" s="106"/>
      <c r="I89" s="106"/>
      <c r="J89" s="104"/>
      <c r="K89" s="104"/>
    </row>
    <row r="90">
      <c r="A90" s="106"/>
      <c r="B90" s="99"/>
      <c r="C90" s="99"/>
      <c r="D90" s="99"/>
      <c r="E90" s="99"/>
      <c r="F90" s="99"/>
      <c r="G90" s="106"/>
      <c r="H90" s="106"/>
      <c r="I90" s="106"/>
      <c r="J90" s="104"/>
      <c r="K90" s="104"/>
    </row>
    <row r="91">
      <c r="A91" s="106"/>
      <c r="B91" s="99"/>
      <c r="C91" s="99"/>
      <c r="D91" s="99"/>
      <c r="E91" s="99"/>
      <c r="F91" s="99"/>
      <c r="G91" s="106"/>
      <c r="H91" s="106"/>
      <c r="I91" s="106"/>
      <c r="J91" s="104"/>
      <c r="K91" s="104"/>
    </row>
    <row r="92">
      <c r="A92" s="106"/>
      <c r="B92" s="99"/>
      <c r="C92" s="99"/>
      <c r="D92" s="99"/>
      <c r="E92" s="99"/>
      <c r="F92" s="99"/>
      <c r="G92" s="106"/>
      <c r="H92" s="106"/>
      <c r="I92" s="106"/>
      <c r="J92" s="104"/>
      <c r="K92" s="104"/>
    </row>
    <row r="93">
      <c r="A93" s="106"/>
      <c r="B93" s="99"/>
      <c r="C93" s="99"/>
      <c r="D93" s="99"/>
      <c r="E93" s="99"/>
      <c r="F93" s="99"/>
      <c r="G93" s="106"/>
      <c r="H93" s="106"/>
      <c r="I93" s="106"/>
      <c r="J93" s="104"/>
      <c r="K93" s="104"/>
    </row>
    <row r="94">
      <c r="A94" s="106"/>
      <c r="B94" s="99"/>
      <c r="C94" s="99"/>
      <c r="D94" s="99"/>
      <c r="E94" s="99"/>
      <c r="F94" s="99"/>
      <c r="G94" s="106"/>
      <c r="H94" s="106"/>
      <c r="I94" s="106"/>
      <c r="J94" s="104"/>
      <c r="K94" s="104"/>
    </row>
    <row r="95">
      <c r="A95" s="106"/>
      <c r="B95" s="99"/>
      <c r="C95" s="99"/>
      <c r="D95" s="99"/>
      <c r="E95" s="99"/>
      <c r="F95" s="99"/>
      <c r="G95" s="106"/>
      <c r="H95" s="106"/>
      <c r="I95" s="106"/>
      <c r="J95" s="104"/>
      <c r="K95" s="104"/>
    </row>
    <row r="96">
      <c r="A96" s="106"/>
      <c r="B96" s="99"/>
      <c r="C96" s="99"/>
      <c r="D96" s="99"/>
      <c r="E96" s="99"/>
      <c r="F96" s="99"/>
      <c r="G96" s="106"/>
      <c r="H96" s="106"/>
      <c r="I96" s="106"/>
      <c r="J96" s="104"/>
      <c r="K96" s="104"/>
    </row>
    <row r="97">
      <c r="A97" s="106"/>
      <c r="B97" s="99"/>
      <c r="C97" s="99"/>
      <c r="D97" s="99"/>
      <c r="E97" s="99"/>
      <c r="F97" s="99"/>
      <c r="G97" s="106"/>
      <c r="H97" s="106"/>
      <c r="I97" s="106"/>
      <c r="J97" s="104"/>
      <c r="K97" s="104"/>
    </row>
    <row r="98">
      <c r="A98" s="106"/>
      <c r="B98" s="99"/>
      <c r="C98" s="99"/>
      <c r="D98" s="99"/>
      <c r="E98" s="99"/>
      <c r="F98" s="99"/>
      <c r="G98" s="106"/>
      <c r="H98" s="106"/>
      <c r="I98" s="106"/>
      <c r="J98" s="104"/>
      <c r="K98" s="104"/>
    </row>
    <row r="99">
      <c r="A99" s="106"/>
      <c r="B99" s="99"/>
      <c r="C99" s="99"/>
      <c r="D99" s="99"/>
      <c r="E99" s="99"/>
      <c r="F99" s="99"/>
      <c r="G99" s="106"/>
      <c r="H99" s="106"/>
      <c r="I99" s="106"/>
      <c r="J99" s="104"/>
      <c r="K99" s="104"/>
    </row>
    <row r="100">
      <c r="A100" s="106"/>
      <c r="B100" s="99"/>
      <c r="C100" s="99"/>
      <c r="D100" s="99"/>
      <c r="E100" s="99"/>
      <c r="F100" s="99"/>
      <c r="G100" s="106"/>
      <c r="H100" s="106"/>
      <c r="I100" s="106"/>
      <c r="J100" s="104"/>
      <c r="K100" s="104"/>
    </row>
  </sheetData>
  <autoFilter ref="$A$4:$K$100"/>
  <customSheetViews>
    <customSheetView guid="{702A14C5-304D-40D0-8B4D-3F24FE2109FE}" filter="1" showAutoFilter="1">
      <autoFilter ref="$A$4:$K$100"/>
    </customSheetView>
  </customSheetViews>
  <mergeCells count="1">
    <mergeCell ref="E1:K1"/>
  </mergeCells>
  <dataValidations>
    <dataValidation type="list" allowBlank="1" sqref="D5:D100">
      <formula1>BAY</formula1>
    </dataValidation>
    <dataValidation type="list" allowBlank="1" sqref="E5:E100">
      <formula1>PROTEKSI</formula1>
    </dataValidation>
    <dataValidation type="list" allowBlank="1" showErrorMessage="1" sqref="C5:C100">
      <formula1>DV!$N$2:$N$35</formula1>
    </dataValidation>
    <dataValidation type="list" allowBlank="1" showErrorMessage="1" sqref="B5:B100">
      <formula1>"ULTG ANGKE,ULTG DURIKOSAMBI,ULTG CITRA RAYA"</formula1>
    </dataValidation>
    <dataValidation type="list" allowBlank="1" sqref="F5:F100">
      <formula1>PEMOHON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4.75"/>
    <col customWidth="1" min="2" max="2" width="24.13"/>
    <col customWidth="1" min="3" max="3" width="30.5"/>
    <col customWidth="1" min="4" max="4" width="27.75"/>
    <col customWidth="1" min="5" max="5" width="16.75"/>
    <col customWidth="1" min="6" max="6" width="22.75"/>
    <col customWidth="1" min="7" max="7" width="8.38"/>
    <col customWidth="1" min="8" max="8" width="10.88"/>
    <col customWidth="1" min="9" max="9" width="9.88"/>
    <col customWidth="1" min="10" max="10" width="30.88"/>
    <col customWidth="1" min="11" max="11" width="8.88"/>
  </cols>
  <sheetData>
    <row r="1">
      <c r="E1" s="92" t="s">
        <v>187</v>
      </c>
    </row>
    <row r="3" ht="37.5" customHeight="1">
      <c r="A3" s="93" t="s">
        <v>188</v>
      </c>
      <c r="B3" s="94" t="s">
        <v>350</v>
      </c>
      <c r="C3" s="94" t="s">
        <v>1</v>
      </c>
      <c r="D3" s="94" t="s">
        <v>2</v>
      </c>
      <c r="E3" s="94" t="s">
        <v>189</v>
      </c>
      <c r="F3" s="94" t="s">
        <v>190</v>
      </c>
      <c r="G3" s="94" t="s">
        <v>191</v>
      </c>
      <c r="H3" s="94" t="s">
        <v>192</v>
      </c>
      <c r="I3" s="94" t="s">
        <v>193</v>
      </c>
      <c r="J3" s="94" t="s">
        <v>194</v>
      </c>
      <c r="K3" s="94" t="s">
        <v>195</v>
      </c>
    </row>
    <row r="4">
      <c r="A4" s="95"/>
      <c r="B4" s="32"/>
      <c r="C4" s="32"/>
      <c r="D4" s="32"/>
      <c r="E4" s="32"/>
      <c r="F4" s="32"/>
      <c r="G4" s="95"/>
      <c r="H4" s="96"/>
      <c r="I4" s="95"/>
      <c r="J4" s="97"/>
    </row>
    <row r="5">
      <c r="A5" s="98"/>
      <c r="B5" s="99" t="s">
        <v>356</v>
      </c>
      <c r="C5" s="99" t="s">
        <v>378</v>
      </c>
      <c r="D5" s="99" t="s">
        <v>229</v>
      </c>
      <c r="E5" s="99" t="s">
        <v>412</v>
      </c>
      <c r="F5" s="99" t="s">
        <v>214</v>
      </c>
      <c r="G5" s="105">
        <v>163.0</v>
      </c>
      <c r="H5" s="101">
        <v>45926.0</v>
      </c>
      <c r="I5" s="102"/>
      <c r="J5" s="103" t="s">
        <v>413</v>
      </c>
      <c r="K5" s="99" t="s">
        <v>414</v>
      </c>
    </row>
    <row r="6">
      <c r="A6" s="98"/>
      <c r="B6" s="99" t="s">
        <v>351</v>
      </c>
      <c r="C6" s="99" t="s">
        <v>213</v>
      </c>
      <c r="D6" s="99" t="s">
        <v>415</v>
      </c>
      <c r="E6" s="99" t="s">
        <v>279</v>
      </c>
      <c r="F6" s="99" t="s">
        <v>214</v>
      </c>
      <c r="G6" s="105">
        <v>178.0</v>
      </c>
      <c r="H6" s="101">
        <v>45926.0</v>
      </c>
      <c r="I6" s="102"/>
      <c r="J6" s="103" t="s">
        <v>416</v>
      </c>
      <c r="K6" s="99" t="s">
        <v>417</v>
      </c>
    </row>
    <row r="7">
      <c r="A7" s="105"/>
      <c r="B7" s="99" t="s">
        <v>351</v>
      </c>
      <c r="C7" s="99" t="s">
        <v>213</v>
      </c>
      <c r="D7" s="99" t="s">
        <v>418</v>
      </c>
      <c r="E7" s="99" t="s">
        <v>279</v>
      </c>
      <c r="F7" s="99" t="s">
        <v>214</v>
      </c>
      <c r="G7" s="105">
        <v>179.0</v>
      </c>
      <c r="H7" s="101">
        <v>45926.0</v>
      </c>
      <c r="I7" s="102"/>
      <c r="J7" s="103" t="s">
        <v>416</v>
      </c>
      <c r="K7" s="99" t="s">
        <v>417</v>
      </c>
    </row>
    <row r="8">
      <c r="A8" s="105"/>
      <c r="B8" s="99" t="s">
        <v>356</v>
      </c>
      <c r="C8" s="99" t="s">
        <v>251</v>
      </c>
      <c r="D8" s="99" t="s">
        <v>347</v>
      </c>
      <c r="E8" s="99" t="s">
        <v>198</v>
      </c>
      <c r="F8" s="99" t="s">
        <v>214</v>
      </c>
      <c r="G8" s="105">
        <v>181.0</v>
      </c>
      <c r="H8" s="101">
        <v>45928.0</v>
      </c>
      <c r="I8" s="102"/>
      <c r="J8" s="99" t="s">
        <v>419</v>
      </c>
      <c r="K8" s="99" t="s">
        <v>417</v>
      </c>
    </row>
    <row r="9">
      <c r="A9" s="105"/>
      <c r="B9" s="99" t="s">
        <v>199</v>
      </c>
      <c r="C9" s="99" t="s">
        <v>274</v>
      </c>
      <c r="D9" s="99" t="s">
        <v>420</v>
      </c>
      <c r="E9" s="99" t="s">
        <v>279</v>
      </c>
      <c r="F9" s="99" t="s">
        <v>214</v>
      </c>
      <c r="G9" s="105"/>
      <c r="H9" s="101"/>
      <c r="I9" s="102"/>
      <c r="J9" s="99" t="s">
        <v>421</v>
      </c>
      <c r="K9" s="104"/>
    </row>
    <row r="10">
      <c r="A10" s="105"/>
      <c r="B10" s="99"/>
      <c r="C10" s="99"/>
      <c r="D10" s="99"/>
      <c r="E10" s="99"/>
      <c r="F10" s="99"/>
      <c r="G10" s="105"/>
      <c r="H10" s="101"/>
      <c r="I10" s="102"/>
      <c r="J10" s="99"/>
      <c r="K10" s="104"/>
    </row>
    <row r="11">
      <c r="A11" s="105"/>
      <c r="B11" s="99"/>
      <c r="C11" s="99"/>
      <c r="D11" s="99"/>
      <c r="E11" s="99"/>
      <c r="F11" s="99"/>
      <c r="G11" s="105"/>
      <c r="H11" s="101"/>
      <c r="I11" s="102"/>
      <c r="J11" s="99"/>
      <c r="K11" s="104"/>
    </row>
    <row r="12">
      <c r="A12" s="105"/>
      <c r="B12" s="99"/>
      <c r="C12" s="99"/>
      <c r="D12" s="99"/>
      <c r="E12" s="99"/>
      <c r="F12" s="99"/>
      <c r="G12" s="105"/>
      <c r="H12" s="101"/>
      <c r="I12" s="102"/>
      <c r="J12" s="99"/>
      <c r="K12" s="104"/>
    </row>
    <row r="13">
      <c r="A13" s="105"/>
      <c r="B13" s="99"/>
      <c r="C13" s="99"/>
      <c r="D13" s="99"/>
      <c r="E13" s="99"/>
      <c r="F13" s="99"/>
      <c r="G13" s="105"/>
      <c r="H13" s="101"/>
      <c r="I13" s="102"/>
      <c r="J13" s="99"/>
      <c r="K13" s="104"/>
    </row>
    <row r="14">
      <c r="A14" s="105"/>
      <c r="B14" s="99"/>
      <c r="C14" s="99"/>
      <c r="D14" s="99"/>
      <c r="E14" s="99"/>
      <c r="F14" s="99"/>
      <c r="G14" s="105"/>
      <c r="H14" s="101"/>
      <c r="I14" s="102"/>
      <c r="J14" s="99"/>
      <c r="K14" s="104"/>
    </row>
    <row r="15">
      <c r="A15" s="105"/>
      <c r="B15" s="99"/>
      <c r="C15" s="99"/>
      <c r="D15" s="99"/>
      <c r="E15" s="99"/>
      <c r="F15" s="99"/>
      <c r="G15" s="105"/>
      <c r="H15" s="101"/>
      <c r="I15" s="102"/>
      <c r="J15" s="99"/>
      <c r="K15" s="104"/>
    </row>
    <row r="16">
      <c r="A16" s="105"/>
      <c r="B16" s="99"/>
      <c r="C16" s="99"/>
      <c r="D16" s="99"/>
      <c r="E16" s="99"/>
      <c r="F16" s="99"/>
      <c r="G16" s="105"/>
      <c r="H16" s="101"/>
      <c r="I16" s="102"/>
      <c r="J16" s="99"/>
      <c r="K16" s="104"/>
    </row>
    <row r="17">
      <c r="A17" s="105"/>
      <c r="B17" s="99"/>
      <c r="C17" s="99"/>
      <c r="D17" s="99"/>
      <c r="E17" s="99"/>
      <c r="F17" s="99"/>
      <c r="G17" s="105"/>
      <c r="H17" s="101"/>
      <c r="I17" s="102"/>
      <c r="J17" s="99"/>
      <c r="K17" s="104"/>
    </row>
    <row r="18">
      <c r="A18" s="105"/>
      <c r="B18" s="99"/>
      <c r="C18" s="99"/>
      <c r="D18" s="99"/>
      <c r="E18" s="99"/>
      <c r="F18" s="99"/>
      <c r="G18" s="105"/>
      <c r="H18" s="101"/>
      <c r="I18" s="102"/>
      <c r="J18" s="99"/>
      <c r="K18" s="104"/>
    </row>
    <row r="19">
      <c r="A19" s="105"/>
      <c r="B19" s="99"/>
      <c r="C19" s="99"/>
      <c r="D19" s="99"/>
      <c r="E19" s="99"/>
      <c r="F19" s="99"/>
      <c r="G19" s="105"/>
      <c r="H19" s="101"/>
      <c r="I19" s="102"/>
      <c r="J19" s="99"/>
      <c r="K19" s="104"/>
    </row>
    <row r="20">
      <c r="A20" s="105"/>
      <c r="B20" s="99"/>
      <c r="C20" s="99"/>
      <c r="D20" s="99"/>
      <c r="E20" s="99"/>
      <c r="F20" s="99"/>
      <c r="G20" s="105"/>
      <c r="H20" s="101"/>
      <c r="I20" s="102"/>
      <c r="J20" s="99"/>
      <c r="K20" s="104"/>
    </row>
    <row r="21">
      <c r="A21" s="105"/>
      <c r="B21" s="99"/>
      <c r="C21" s="99"/>
      <c r="D21" s="99"/>
      <c r="E21" s="99"/>
      <c r="F21" s="99"/>
      <c r="G21" s="105"/>
      <c r="H21" s="101"/>
      <c r="I21" s="102"/>
      <c r="J21" s="99"/>
      <c r="K21" s="104"/>
    </row>
    <row r="22">
      <c r="A22" s="105"/>
      <c r="B22" s="99"/>
      <c r="C22" s="99"/>
      <c r="D22" s="99"/>
      <c r="E22" s="99"/>
      <c r="F22" s="99"/>
      <c r="G22" s="105"/>
      <c r="H22" s="101"/>
      <c r="I22" s="102"/>
      <c r="J22" s="99"/>
      <c r="K22" s="104"/>
    </row>
    <row r="23">
      <c r="A23" s="105"/>
      <c r="B23" s="99"/>
      <c r="C23" s="99"/>
      <c r="D23" s="99"/>
      <c r="E23" s="99"/>
      <c r="F23" s="99"/>
      <c r="G23" s="105"/>
      <c r="H23" s="101"/>
      <c r="I23" s="102"/>
      <c r="J23" s="99"/>
      <c r="K23" s="104"/>
    </row>
    <row r="24">
      <c r="A24" s="105"/>
      <c r="B24" s="99"/>
      <c r="C24" s="99"/>
      <c r="D24" s="99"/>
      <c r="E24" s="99"/>
      <c r="F24" s="99"/>
      <c r="G24" s="105"/>
      <c r="H24" s="101"/>
      <c r="I24" s="102"/>
      <c r="J24" s="99"/>
      <c r="K24" s="104"/>
    </row>
    <row r="25">
      <c r="A25" s="105"/>
      <c r="B25" s="99"/>
      <c r="C25" s="99"/>
      <c r="D25" s="99"/>
      <c r="E25" s="99"/>
      <c r="F25" s="99"/>
      <c r="G25" s="105"/>
      <c r="H25" s="101"/>
      <c r="I25" s="102"/>
      <c r="J25" s="99"/>
      <c r="K25" s="104"/>
    </row>
    <row r="26">
      <c r="A26" s="105"/>
      <c r="B26" s="99"/>
      <c r="C26" s="99"/>
      <c r="D26" s="99"/>
      <c r="E26" s="99"/>
      <c r="F26" s="99"/>
      <c r="G26" s="105"/>
      <c r="H26" s="101"/>
      <c r="I26" s="102"/>
      <c r="J26" s="99"/>
      <c r="K26" s="104"/>
    </row>
    <row r="27">
      <c r="A27" s="105"/>
      <c r="B27" s="99"/>
      <c r="C27" s="99"/>
      <c r="D27" s="99"/>
      <c r="E27" s="99"/>
      <c r="F27" s="99"/>
      <c r="G27" s="105"/>
      <c r="H27" s="101"/>
      <c r="I27" s="102"/>
      <c r="J27" s="99"/>
      <c r="K27" s="104"/>
    </row>
    <row r="28">
      <c r="A28" s="105"/>
      <c r="B28" s="99"/>
      <c r="C28" s="99"/>
      <c r="D28" s="99"/>
      <c r="E28" s="99"/>
      <c r="F28" s="99"/>
      <c r="G28" s="105"/>
      <c r="H28" s="101"/>
      <c r="I28" s="102"/>
      <c r="J28" s="99"/>
      <c r="K28" s="104"/>
    </row>
    <row r="29">
      <c r="A29" s="105"/>
      <c r="B29" s="99"/>
      <c r="C29" s="99"/>
      <c r="D29" s="99"/>
      <c r="E29" s="99"/>
      <c r="F29" s="99"/>
      <c r="G29" s="105"/>
      <c r="H29" s="101"/>
      <c r="I29" s="102"/>
      <c r="J29" s="99"/>
      <c r="K29" s="104"/>
    </row>
    <row r="30">
      <c r="A30" s="105"/>
      <c r="B30" s="99"/>
      <c r="C30" s="99"/>
      <c r="D30" s="99"/>
      <c r="E30" s="99"/>
      <c r="F30" s="99"/>
      <c r="G30" s="105"/>
      <c r="H30" s="101"/>
      <c r="I30" s="102"/>
      <c r="J30" s="99"/>
      <c r="K30" s="104"/>
    </row>
    <row r="31">
      <c r="A31" s="105"/>
      <c r="B31" s="99"/>
      <c r="C31" s="99"/>
      <c r="D31" s="99"/>
      <c r="E31" s="99"/>
      <c r="F31" s="99"/>
      <c r="G31" s="105"/>
      <c r="H31" s="101"/>
      <c r="I31" s="102"/>
      <c r="J31" s="99"/>
      <c r="K31" s="104"/>
    </row>
    <row r="32">
      <c r="A32" s="105"/>
      <c r="B32" s="99"/>
      <c r="C32" s="99"/>
      <c r="D32" s="99"/>
      <c r="E32" s="99"/>
      <c r="F32" s="99"/>
      <c r="G32" s="105"/>
      <c r="H32" s="101"/>
      <c r="I32" s="102"/>
      <c r="J32" s="99"/>
      <c r="K32" s="104"/>
    </row>
    <row r="33">
      <c r="A33" s="105"/>
      <c r="B33" s="99"/>
      <c r="C33" s="99"/>
      <c r="D33" s="99"/>
      <c r="E33" s="99"/>
      <c r="F33" s="99"/>
      <c r="G33" s="105"/>
      <c r="H33" s="101"/>
      <c r="I33" s="102"/>
      <c r="J33" s="99"/>
      <c r="K33" s="104"/>
    </row>
    <row r="34">
      <c r="A34" s="105"/>
      <c r="B34" s="99"/>
      <c r="C34" s="99"/>
      <c r="D34" s="99"/>
      <c r="E34" s="99"/>
      <c r="F34" s="99"/>
      <c r="G34" s="105"/>
      <c r="H34" s="101"/>
      <c r="I34" s="102"/>
      <c r="J34" s="99"/>
      <c r="K34" s="104"/>
    </row>
    <row r="35">
      <c r="A35" s="105"/>
      <c r="B35" s="99"/>
      <c r="C35" s="99"/>
      <c r="D35" s="99"/>
      <c r="E35" s="99"/>
      <c r="F35" s="99"/>
      <c r="G35" s="105"/>
      <c r="H35" s="101"/>
      <c r="I35" s="102"/>
      <c r="J35" s="99"/>
      <c r="K35" s="104"/>
    </row>
    <row r="36">
      <c r="A36" s="105"/>
      <c r="B36" s="99"/>
      <c r="C36" s="99"/>
      <c r="D36" s="99"/>
      <c r="E36" s="99"/>
      <c r="F36" s="99"/>
      <c r="G36" s="105"/>
      <c r="H36" s="101"/>
      <c r="I36" s="102"/>
      <c r="J36" s="99"/>
      <c r="K36" s="104"/>
    </row>
    <row r="37">
      <c r="A37" s="105"/>
      <c r="B37" s="99"/>
      <c r="C37" s="99"/>
      <c r="D37" s="99"/>
      <c r="E37" s="99"/>
      <c r="F37" s="99"/>
      <c r="G37" s="105"/>
      <c r="H37" s="101"/>
      <c r="I37" s="102"/>
      <c r="J37" s="99"/>
      <c r="K37" s="104"/>
    </row>
    <row r="38">
      <c r="A38" s="106"/>
      <c r="B38" s="99"/>
      <c r="C38" s="99"/>
      <c r="D38" s="99"/>
      <c r="E38" s="99"/>
      <c r="F38" s="99"/>
      <c r="G38" s="105"/>
      <c r="H38" s="101"/>
      <c r="I38" s="102"/>
      <c r="J38" s="99"/>
      <c r="K38" s="104"/>
    </row>
    <row r="39">
      <c r="A39" s="106"/>
      <c r="B39" s="99"/>
      <c r="C39" s="99"/>
      <c r="D39" s="99"/>
      <c r="E39" s="99"/>
      <c r="F39" s="99"/>
      <c r="G39" s="105"/>
      <c r="H39" s="101"/>
      <c r="I39" s="102"/>
      <c r="J39" s="99"/>
      <c r="K39" s="104"/>
    </row>
    <row r="40">
      <c r="A40" s="106"/>
      <c r="B40" s="99"/>
      <c r="C40" s="99"/>
      <c r="D40" s="99"/>
      <c r="E40" s="99"/>
      <c r="F40" s="99"/>
      <c r="G40" s="105"/>
      <c r="H40" s="101"/>
      <c r="I40" s="102"/>
      <c r="J40" s="104"/>
      <c r="K40" s="104"/>
    </row>
    <row r="41">
      <c r="A41" s="106"/>
      <c r="B41" s="99"/>
      <c r="C41" s="99"/>
      <c r="D41" s="99"/>
      <c r="E41" s="99"/>
      <c r="F41" s="99"/>
      <c r="G41" s="105"/>
      <c r="H41" s="101"/>
      <c r="I41" s="102"/>
      <c r="J41" s="104"/>
      <c r="K41" s="104"/>
    </row>
    <row r="42">
      <c r="A42" s="106"/>
      <c r="B42" s="99"/>
      <c r="C42" s="99"/>
      <c r="D42" s="99"/>
      <c r="E42" s="99"/>
      <c r="F42" s="99"/>
      <c r="G42" s="105"/>
      <c r="H42" s="101"/>
      <c r="I42" s="102"/>
      <c r="J42" s="104"/>
      <c r="K42" s="104"/>
    </row>
    <row r="43">
      <c r="A43" s="106"/>
      <c r="B43" s="99"/>
      <c r="C43" s="99"/>
      <c r="D43" s="99"/>
      <c r="E43" s="99"/>
      <c r="F43" s="99"/>
      <c r="G43" s="105"/>
      <c r="H43" s="101"/>
      <c r="I43" s="102"/>
      <c r="J43" s="104"/>
      <c r="K43" s="104"/>
    </row>
    <row r="44">
      <c r="A44" s="106"/>
      <c r="B44" s="99"/>
      <c r="C44" s="99"/>
      <c r="D44" s="99"/>
      <c r="E44" s="99"/>
      <c r="F44" s="99"/>
      <c r="G44" s="105"/>
      <c r="H44" s="101"/>
      <c r="I44" s="102"/>
      <c r="J44" s="99"/>
      <c r="K44" s="104"/>
    </row>
    <row r="45">
      <c r="A45" s="106"/>
      <c r="B45" s="99"/>
      <c r="C45" s="99"/>
      <c r="D45" s="99"/>
      <c r="E45" s="99"/>
      <c r="F45" s="99"/>
      <c r="G45" s="105"/>
      <c r="H45" s="101"/>
      <c r="I45" s="102"/>
      <c r="J45" s="99"/>
      <c r="K45" s="104"/>
    </row>
    <row r="46">
      <c r="A46" s="105"/>
      <c r="B46" s="99"/>
      <c r="C46" s="99"/>
      <c r="D46" s="99"/>
      <c r="E46" s="99"/>
      <c r="F46" s="99"/>
      <c r="G46" s="105"/>
      <c r="H46" s="101"/>
      <c r="I46" s="102"/>
      <c r="J46" s="99"/>
      <c r="K46" s="104"/>
    </row>
    <row r="47">
      <c r="A47" s="106"/>
      <c r="B47" s="99"/>
      <c r="C47" s="99"/>
      <c r="D47" s="99"/>
      <c r="E47" s="99"/>
      <c r="F47" s="99"/>
      <c r="G47" s="105"/>
      <c r="H47" s="101"/>
      <c r="I47" s="102"/>
      <c r="J47" s="99"/>
      <c r="K47" s="104"/>
    </row>
    <row r="48">
      <c r="A48" s="106"/>
      <c r="B48" s="99"/>
      <c r="C48" s="99"/>
      <c r="D48" s="99"/>
      <c r="E48" s="99"/>
      <c r="F48" s="99"/>
      <c r="G48" s="105"/>
      <c r="H48" s="101"/>
      <c r="I48" s="102"/>
      <c r="J48" s="99"/>
      <c r="K48" s="104"/>
    </row>
    <row r="49">
      <c r="A49" s="106"/>
      <c r="B49" s="99"/>
      <c r="C49" s="99"/>
      <c r="D49" s="99"/>
      <c r="E49" s="99"/>
      <c r="F49" s="99"/>
      <c r="G49" s="105"/>
      <c r="H49" s="101"/>
      <c r="I49" s="102"/>
      <c r="J49" s="99"/>
      <c r="K49" s="104"/>
    </row>
    <row r="50">
      <c r="A50" s="106"/>
      <c r="B50" s="99"/>
      <c r="C50" s="99"/>
      <c r="D50" s="99"/>
      <c r="E50" s="99"/>
      <c r="F50" s="99"/>
      <c r="G50" s="105"/>
      <c r="H50" s="101"/>
      <c r="I50" s="102"/>
      <c r="J50" s="104"/>
      <c r="K50" s="104"/>
    </row>
    <row r="51">
      <c r="A51" s="106"/>
      <c r="B51" s="99"/>
      <c r="C51" s="99"/>
      <c r="D51" s="99"/>
      <c r="E51" s="99"/>
      <c r="F51" s="99"/>
      <c r="G51" s="105"/>
      <c r="H51" s="101"/>
      <c r="I51" s="102"/>
      <c r="J51" s="104"/>
      <c r="K51" s="104"/>
    </row>
    <row r="52">
      <c r="A52" s="106"/>
      <c r="B52" s="99"/>
      <c r="C52" s="99"/>
      <c r="D52" s="99"/>
      <c r="E52" s="99"/>
      <c r="F52" s="99"/>
      <c r="G52" s="105"/>
      <c r="H52" s="101"/>
      <c r="I52" s="102"/>
      <c r="J52" s="104"/>
      <c r="K52" s="104"/>
    </row>
    <row r="53">
      <c r="A53" s="106"/>
      <c r="B53" s="99"/>
      <c r="C53" s="99"/>
      <c r="D53" s="99"/>
      <c r="E53" s="99"/>
      <c r="F53" s="99"/>
      <c r="G53" s="105"/>
      <c r="H53" s="101"/>
      <c r="I53" s="102"/>
      <c r="J53" s="104"/>
      <c r="K53" s="104"/>
    </row>
    <row r="54">
      <c r="A54" s="106"/>
      <c r="B54" s="99"/>
      <c r="C54" s="99"/>
      <c r="D54" s="99"/>
      <c r="E54" s="99"/>
      <c r="F54" s="99"/>
      <c r="G54" s="105"/>
      <c r="H54" s="101"/>
      <c r="I54" s="102"/>
      <c r="J54" s="104"/>
      <c r="K54" s="104"/>
    </row>
    <row r="55">
      <c r="A55" s="106"/>
      <c r="B55" s="99"/>
      <c r="C55" s="99"/>
      <c r="D55" s="99"/>
      <c r="E55" s="99"/>
      <c r="F55" s="99"/>
      <c r="G55" s="105"/>
      <c r="H55" s="101"/>
      <c r="I55" s="102"/>
      <c r="J55" s="104"/>
      <c r="K55" s="104"/>
    </row>
    <row r="56">
      <c r="A56" s="106"/>
      <c r="B56" s="99"/>
      <c r="C56" s="99"/>
      <c r="D56" s="99"/>
      <c r="E56" s="99"/>
      <c r="F56" s="99"/>
      <c r="G56" s="105"/>
      <c r="H56" s="101"/>
      <c r="I56" s="102"/>
      <c r="J56" s="104"/>
      <c r="K56" s="104"/>
    </row>
    <row r="57">
      <c r="A57" s="106"/>
      <c r="B57" s="99"/>
      <c r="C57" s="99"/>
      <c r="D57" s="99"/>
      <c r="E57" s="99"/>
      <c r="F57" s="99"/>
      <c r="G57" s="105"/>
      <c r="H57" s="101"/>
      <c r="I57" s="102"/>
      <c r="J57" s="104"/>
      <c r="K57" s="104"/>
    </row>
    <row r="58">
      <c r="A58" s="106"/>
      <c r="B58" s="99"/>
      <c r="C58" s="99"/>
      <c r="D58" s="99"/>
      <c r="E58" s="99"/>
      <c r="F58" s="99"/>
      <c r="G58" s="105"/>
      <c r="H58" s="101"/>
      <c r="I58" s="102"/>
      <c r="J58" s="104"/>
      <c r="K58" s="104"/>
    </row>
    <row r="59">
      <c r="A59" s="106"/>
      <c r="B59" s="99"/>
      <c r="C59" s="99"/>
      <c r="D59" s="99"/>
      <c r="E59" s="99"/>
      <c r="F59" s="99"/>
      <c r="G59" s="105"/>
      <c r="H59" s="101"/>
      <c r="I59" s="102"/>
      <c r="J59" s="104"/>
      <c r="K59" s="104"/>
    </row>
    <row r="60">
      <c r="A60" s="106"/>
      <c r="B60" s="99"/>
      <c r="C60" s="99"/>
      <c r="D60" s="99"/>
      <c r="E60" s="99"/>
      <c r="F60" s="99"/>
      <c r="G60" s="105"/>
      <c r="H60" s="101"/>
      <c r="I60" s="102"/>
      <c r="J60" s="104"/>
      <c r="K60" s="104"/>
    </row>
    <row r="61">
      <c r="A61" s="106"/>
      <c r="B61" s="99"/>
      <c r="C61" s="99"/>
      <c r="D61" s="99"/>
      <c r="E61" s="99"/>
      <c r="F61" s="99"/>
      <c r="G61" s="105"/>
      <c r="H61" s="101"/>
      <c r="I61" s="102"/>
      <c r="J61" s="104"/>
      <c r="K61" s="104"/>
    </row>
    <row r="62">
      <c r="A62" s="106"/>
      <c r="B62" s="99"/>
      <c r="C62" s="99"/>
      <c r="D62" s="99"/>
      <c r="E62" s="99"/>
      <c r="F62" s="99"/>
      <c r="G62" s="105"/>
      <c r="H62" s="101"/>
      <c r="I62" s="102"/>
      <c r="J62" s="104"/>
      <c r="K62" s="104"/>
    </row>
    <row r="63">
      <c r="A63" s="106"/>
      <c r="B63" s="99"/>
      <c r="C63" s="99"/>
      <c r="D63" s="99"/>
      <c r="E63" s="99"/>
      <c r="F63" s="99"/>
      <c r="G63" s="105"/>
      <c r="H63" s="101"/>
      <c r="I63" s="102"/>
      <c r="J63" s="104"/>
      <c r="K63" s="104"/>
    </row>
    <row r="64">
      <c r="A64" s="106"/>
      <c r="B64" s="99"/>
      <c r="C64" s="99"/>
      <c r="D64" s="99"/>
      <c r="E64" s="99"/>
      <c r="F64" s="99"/>
      <c r="G64" s="105"/>
      <c r="H64" s="101"/>
      <c r="I64" s="102"/>
      <c r="J64" s="104"/>
      <c r="K64" s="104"/>
    </row>
    <row r="65">
      <c r="A65" s="106"/>
      <c r="B65" s="99"/>
      <c r="C65" s="99"/>
      <c r="D65" s="99"/>
      <c r="E65" s="99"/>
      <c r="F65" s="99"/>
      <c r="G65" s="105"/>
      <c r="H65" s="101"/>
      <c r="I65" s="102"/>
      <c r="J65" s="104"/>
      <c r="K65" s="104"/>
    </row>
    <row r="66">
      <c r="A66" s="106"/>
      <c r="B66" s="99"/>
      <c r="C66" s="99"/>
      <c r="D66" s="99"/>
      <c r="E66" s="99"/>
      <c r="F66" s="99"/>
      <c r="G66" s="105"/>
      <c r="H66" s="101"/>
      <c r="I66" s="102"/>
      <c r="J66" s="104"/>
      <c r="K66" s="104"/>
    </row>
    <row r="67">
      <c r="A67" s="106"/>
      <c r="B67" s="99"/>
      <c r="C67" s="99"/>
      <c r="D67" s="99"/>
      <c r="E67" s="99"/>
      <c r="F67" s="99"/>
      <c r="G67" s="105"/>
      <c r="H67" s="101"/>
      <c r="I67" s="102"/>
      <c r="J67" s="104"/>
      <c r="K67" s="104"/>
    </row>
    <row r="68">
      <c r="A68" s="106"/>
      <c r="B68" s="99"/>
      <c r="C68" s="99"/>
      <c r="D68" s="99"/>
      <c r="E68" s="99"/>
      <c r="F68" s="99"/>
      <c r="G68" s="105"/>
      <c r="H68" s="101"/>
      <c r="I68" s="102"/>
      <c r="J68" s="104"/>
      <c r="K68" s="104"/>
    </row>
    <row r="69">
      <c r="A69" s="106"/>
      <c r="B69" s="99"/>
      <c r="C69" s="99"/>
      <c r="D69" s="99"/>
      <c r="E69" s="99"/>
      <c r="F69" s="99"/>
      <c r="G69" s="105"/>
      <c r="H69" s="101"/>
      <c r="I69" s="102"/>
      <c r="J69" s="104"/>
      <c r="K69" s="104"/>
    </row>
    <row r="70">
      <c r="A70" s="106"/>
      <c r="B70" s="99"/>
      <c r="C70" s="99"/>
      <c r="D70" s="99"/>
      <c r="E70" s="99"/>
      <c r="F70" s="99"/>
      <c r="G70" s="105"/>
      <c r="H70" s="101"/>
      <c r="I70" s="102"/>
      <c r="J70" s="104"/>
      <c r="K70" s="104"/>
    </row>
    <row r="71">
      <c r="A71" s="106"/>
      <c r="B71" s="99"/>
      <c r="C71" s="99"/>
      <c r="D71" s="99"/>
      <c r="E71" s="99"/>
      <c r="F71" s="99"/>
      <c r="G71" s="105"/>
      <c r="H71" s="101"/>
      <c r="I71" s="102"/>
      <c r="J71" s="104"/>
      <c r="K71" s="104"/>
    </row>
    <row r="72">
      <c r="A72" s="106"/>
      <c r="B72" s="99"/>
      <c r="C72" s="99"/>
      <c r="D72" s="99"/>
      <c r="E72" s="99"/>
      <c r="F72" s="99"/>
      <c r="G72" s="105"/>
      <c r="H72" s="101"/>
      <c r="I72" s="102"/>
      <c r="J72" s="104"/>
      <c r="K72" s="104"/>
    </row>
    <row r="73">
      <c r="A73" s="106"/>
      <c r="B73" s="99"/>
      <c r="C73" s="99"/>
      <c r="D73" s="99"/>
      <c r="E73" s="99"/>
      <c r="F73" s="99"/>
      <c r="G73" s="105"/>
      <c r="H73" s="101"/>
      <c r="I73" s="102"/>
      <c r="J73" s="104"/>
      <c r="K73" s="104"/>
    </row>
    <row r="74">
      <c r="A74" s="106"/>
      <c r="B74" s="99"/>
      <c r="C74" s="99"/>
      <c r="D74" s="99"/>
      <c r="E74" s="99"/>
      <c r="F74" s="99"/>
      <c r="G74" s="105"/>
      <c r="H74" s="101"/>
      <c r="I74" s="102"/>
      <c r="J74" s="104"/>
      <c r="K74" s="104"/>
    </row>
    <row r="75">
      <c r="A75" s="106"/>
      <c r="B75" s="99"/>
      <c r="C75" s="99"/>
      <c r="D75" s="99"/>
      <c r="E75" s="99"/>
      <c r="F75" s="99"/>
      <c r="G75" s="105"/>
      <c r="H75" s="101"/>
      <c r="I75" s="102"/>
      <c r="J75" s="104"/>
      <c r="K75" s="104"/>
    </row>
    <row r="76">
      <c r="A76" s="106"/>
      <c r="B76" s="99"/>
      <c r="C76" s="99"/>
      <c r="D76" s="99"/>
      <c r="E76" s="99"/>
      <c r="F76" s="99"/>
      <c r="G76" s="105"/>
      <c r="H76" s="101"/>
      <c r="I76" s="102"/>
      <c r="J76" s="104"/>
      <c r="K76" s="104"/>
    </row>
    <row r="77">
      <c r="A77" s="106"/>
      <c r="B77" s="99"/>
      <c r="C77" s="99"/>
      <c r="D77" s="99"/>
      <c r="E77" s="99"/>
      <c r="F77" s="99"/>
      <c r="G77" s="105"/>
      <c r="H77" s="101"/>
      <c r="I77" s="102"/>
      <c r="J77" s="104"/>
      <c r="K77" s="104"/>
    </row>
    <row r="78">
      <c r="A78" s="106"/>
      <c r="B78" s="99"/>
      <c r="C78" s="99"/>
      <c r="D78" s="99"/>
      <c r="E78" s="99"/>
      <c r="F78" s="99"/>
      <c r="G78" s="105"/>
      <c r="H78" s="101"/>
      <c r="I78" s="102"/>
      <c r="J78" s="104"/>
      <c r="K78" s="104"/>
    </row>
    <row r="79">
      <c r="A79" s="106"/>
      <c r="B79" s="99"/>
      <c r="C79" s="99"/>
      <c r="D79" s="99"/>
      <c r="E79" s="99"/>
      <c r="F79" s="99"/>
      <c r="G79" s="105"/>
      <c r="H79" s="101"/>
      <c r="I79" s="102"/>
      <c r="J79" s="104"/>
      <c r="K79" s="104"/>
    </row>
    <row r="80">
      <c r="A80" s="106"/>
      <c r="B80" s="99"/>
      <c r="C80" s="99"/>
      <c r="D80" s="99"/>
      <c r="E80" s="99"/>
      <c r="F80" s="99"/>
      <c r="G80" s="105"/>
      <c r="H80" s="101"/>
      <c r="I80" s="102"/>
      <c r="J80" s="104"/>
      <c r="K80" s="104"/>
    </row>
    <row r="81">
      <c r="A81" s="106"/>
      <c r="B81" s="99"/>
      <c r="C81" s="99"/>
      <c r="D81" s="99"/>
      <c r="E81" s="99"/>
      <c r="F81" s="99"/>
      <c r="G81" s="105"/>
      <c r="H81" s="101"/>
      <c r="I81" s="102"/>
      <c r="J81" s="104"/>
      <c r="K81" s="104"/>
    </row>
    <row r="82">
      <c r="A82" s="106"/>
      <c r="B82" s="99"/>
      <c r="C82" s="99"/>
      <c r="D82" s="99"/>
      <c r="E82" s="99"/>
      <c r="F82" s="99"/>
      <c r="G82" s="105"/>
      <c r="H82" s="101"/>
      <c r="I82" s="102"/>
      <c r="J82" s="104"/>
      <c r="K82" s="104"/>
    </row>
    <row r="83">
      <c r="A83" s="106"/>
      <c r="B83" s="99"/>
      <c r="C83" s="99"/>
      <c r="D83" s="99"/>
      <c r="E83" s="99"/>
      <c r="F83" s="99"/>
      <c r="G83" s="105"/>
      <c r="H83" s="101"/>
      <c r="I83" s="102"/>
      <c r="J83" s="104"/>
      <c r="K83" s="104"/>
    </row>
    <row r="84">
      <c r="A84" s="106"/>
      <c r="B84" s="99"/>
      <c r="C84" s="99"/>
      <c r="D84" s="99"/>
      <c r="E84" s="99"/>
      <c r="F84" s="99"/>
      <c r="G84" s="105"/>
      <c r="H84" s="101"/>
      <c r="I84" s="102"/>
      <c r="J84" s="104"/>
      <c r="K84" s="104"/>
    </row>
    <row r="85">
      <c r="A85" s="106"/>
      <c r="B85" s="99"/>
      <c r="C85" s="99"/>
      <c r="D85" s="99"/>
      <c r="E85" s="99"/>
      <c r="F85" s="99"/>
      <c r="G85" s="105"/>
      <c r="H85" s="101"/>
      <c r="I85" s="102"/>
      <c r="J85" s="104"/>
      <c r="K85" s="104"/>
    </row>
    <row r="86">
      <c r="A86" s="106"/>
      <c r="B86" s="99"/>
      <c r="C86" s="99"/>
      <c r="D86" s="99"/>
      <c r="E86" s="99"/>
      <c r="F86" s="99"/>
      <c r="G86" s="105"/>
      <c r="H86" s="101"/>
      <c r="I86" s="102"/>
      <c r="J86" s="104"/>
      <c r="K86" s="104"/>
    </row>
    <row r="87">
      <c r="A87" s="106"/>
      <c r="B87" s="99"/>
      <c r="C87" s="99"/>
      <c r="D87" s="99"/>
      <c r="E87" s="99"/>
      <c r="F87" s="99"/>
      <c r="G87" s="105"/>
      <c r="H87" s="101"/>
      <c r="I87" s="102"/>
      <c r="J87" s="104"/>
      <c r="K87" s="104"/>
    </row>
    <row r="88">
      <c r="A88" s="106"/>
      <c r="B88" s="99"/>
      <c r="C88" s="99"/>
      <c r="D88" s="99"/>
      <c r="E88" s="99"/>
      <c r="F88" s="99"/>
      <c r="G88" s="105"/>
      <c r="H88" s="101"/>
      <c r="I88" s="102"/>
      <c r="J88" s="104"/>
      <c r="K88" s="104"/>
    </row>
    <row r="89">
      <c r="A89" s="106"/>
      <c r="B89" s="99"/>
      <c r="C89" s="99"/>
      <c r="D89" s="99"/>
      <c r="E89" s="99"/>
      <c r="F89" s="99"/>
      <c r="G89" s="106"/>
      <c r="H89" s="106"/>
      <c r="I89" s="106"/>
      <c r="J89" s="104"/>
      <c r="K89" s="104"/>
    </row>
    <row r="90">
      <c r="A90" s="106"/>
      <c r="B90" s="99"/>
      <c r="C90" s="99"/>
      <c r="D90" s="99"/>
      <c r="E90" s="99"/>
      <c r="F90" s="99"/>
      <c r="G90" s="106"/>
      <c r="H90" s="106"/>
      <c r="I90" s="106"/>
      <c r="J90" s="104"/>
      <c r="K90" s="104"/>
    </row>
    <row r="91">
      <c r="A91" s="106"/>
      <c r="B91" s="99"/>
      <c r="C91" s="99"/>
      <c r="D91" s="99"/>
      <c r="E91" s="99"/>
      <c r="F91" s="99"/>
      <c r="G91" s="106"/>
      <c r="H91" s="106"/>
      <c r="I91" s="106"/>
      <c r="J91" s="104"/>
      <c r="K91" s="104"/>
    </row>
    <row r="92">
      <c r="A92" s="106"/>
      <c r="B92" s="99"/>
      <c r="C92" s="99"/>
      <c r="D92" s="99"/>
      <c r="E92" s="99"/>
      <c r="F92" s="99"/>
      <c r="G92" s="106"/>
      <c r="H92" s="106"/>
      <c r="I92" s="106"/>
      <c r="J92" s="104"/>
      <c r="K92" s="104"/>
    </row>
    <row r="93">
      <c r="A93" s="106"/>
      <c r="B93" s="99"/>
      <c r="C93" s="99"/>
      <c r="D93" s="99"/>
      <c r="E93" s="99"/>
      <c r="F93" s="99"/>
      <c r="G93" s="106"/>
      <c r="H93" s="106"/>
      <c r="I93" s="106"/>
      <c r="J93" s="104"/>
      <c r="K93" s="104"/>
    </row>
    <row r="94">
      <c r="A94" s="106"/>
      <c r="B94" s="99"/>
      <c r="C94" s="99"/>
      <c r="D94" s="99"/>
      <c r="E94" s="99"/>
      <c r="F94" s="99"/>
      <c r="G94" s="106"/>
      <c r="H94" s="106"/>
      <c r="I94" s="106"/>
      <c r="J94" s="104"/>
      <c r="K94" s="104"/>
    </row>
    <row r="95">
      <c r="A95" s="106"/>
      <c r="B95" s="99"/>
      <c r="C95" s="99"/>
      <c r="D95" s="99"/>
      <c r="E95" s="99"/>
      <c r="F95" s="99"/>
      <c r="G95" s="106"/>
      <c r="H95" s="106"/>
      <c r="I95" s="106"/>
      <c r="J95" s="104"/>
      <c r="K95" s="104"/>
    </row>
    <row r="96">
      <c r="A96" s="106"/>
      <c r="B96" s="99"/>
      <c r="C96" s="99"/>
      <c r="D96" s="99"/>
      <c r="E96" s="99"/>
      <c r="F96" s="99"/>
      <c r="G96" s="106"/>
      <c r="H96" s="106"/>
      <c r="I96" s="106"/>
      <c r="J96" s="104"/>
      <c r="K96" s="104"/>
    </row>
    <row r="97">
      <c r="A97" s="106"/>
      <c r="B97" s="99"/>
      <c r="C97" s="99"/>
      <c r="D97" s="99"/>
      <c r="E97" s="99"/>
      <c r="F97" s="99"/>
      <c r="G97" s="106"/>
      <c r="H97" s="106"/>
      <c r="I97" s="106"/>
      <c r="J97" s="104"/>
      <c r="K97" s="104"/>
    </row>
    <row r="98">
      <c r="A98" s="106"/>
      <c r="B98" s="99"/>
      <c r="C98" s="99"/>
      <c r="D98" s="99"/>
      <c r="E98" s="99"/>
      <c r="F98" s="99"/>
      <c r="G98" s="106"/>
      <c r="H98" s="106"/>
      <c r="I98" s="106"/>
      <c r="J98" s="104"/>
      <c r="K98" s="104"/>
    </row>
    <row r="99">
      <c r="A99" s="106"/>
      <c r="B99" s="99"/>
      <c r="C99" s="99"/>
      <c r="D99" s="99"/>
      <c r="E99" s="99"/>
      <c r="F99" s="99"/>
      <c r="G99" s="106"/>
      <c r="H99" s="106"/>
      <c r="I99" s="106"/>
      <c r="J99" s="104"/>
      <c r="K99" s="104"/>
    </row>
    <row r="100">
      <c r="A100" s="106"/>
      <c r="B100" s="99"/>
      <c r="C100" s="99"/>
      <c r="D100" s="99"/>
      <c r="E100" s="99"/>
      <c r="F100" s="99"/>
      <c r="G100" s="106"/>
      <c r="H100" s="106"/>
      <c r="I100" s="106"/>
      <c r="J100" s="104"/>
      <c r="K100" s="104"/>
    </row>
  </sheetData>
  <autoFilter ref="$A$4:$K$100"/>
  <customSheetViews>
    <customSheetView guid="{702A14C5-304D-40D0-8B4D-3F24FE2109FE}" filter="1" showAutoFilter="1">
      <autoFilter ref="$A$4:$K$100"/>
    </customSheetView>
  </customSheetViews>
  <mergeCells count="1">
    <mergeCell ref="E1:K1"/>
  </mergeCells>
  <dataValidations>
    <dataValidation type="list" allowBlank="1" sqref="D5:D100">
      <formula1>BAY</formula1>
    </dataValidation>
    <dataValidation type="list" allowBlank="1" sqref="E5:E100">
      <formula1>PROTEKSI</formula1>
    </dataValidation>
    <dataValidation type="list" allowBlank="1" showErrorMessage="1" sqref="C5:C100">
      <formula1>DV!$N$2:$N$35</formula1>
    </dataValidation>
    <dataValidation type="list" allowBlank="1" showErrorMessage="1" sqref="B5:B100">
      <formula1>"ULTG ANGKE,ULTG DURIKOSAMBI,ULTG CITRA RAYA"</formula1>
    </dataValidation>
    <dataValidation type="list" allowBlank="1" showErrorMessage="1" sqref="K5:K100">
      <formula1>"ON PROG,FINISHED"</formula1>
    </dataValidation>
    <dataValidation type="list" allowBlank="1" sqref="F5:F100">
      <formula1>PEMOHON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4.75"/>
    <col customWidth="1" min="2" max="2" width="24.13"/>
    <col customWidth="1" min="3" max="3" width="30.5"/>
    <col customWidth="1" min="4" max="4" width="27.75"/>
    <col customWidth="1" min="5" max="5" width="16.75"/>
    <col customWidth="1" min="6" max="6" width="22.75"/>
    <col customWidth="1" min="7" max="7" width="8.38"/>
    <col customWidth="1" min="8" max="8" width="10.88"/>
    <col customWidth="1" min="9" max="9" width="9.88"/>
    <col customWidth="1" min="10" max="10" width="30.88"/>
    <col customWidth="1" min="11" max="11" width="13.88"/>
  </cols>
  <sheetData>
    <row r="1">
      <c r="E1" s="92" t="s">
        <v>187</v>
      </c>
    </row>
    <row r="3" ht="37.5" customHeight="1">
      <c r="A3" s="93" t="s">
        <v>188</v>
      </c>
      <c r="B3" s="94" t="s">
        <v>350</v>
      </c>
      <c r="C3" s="94" t="s">
        <v>1</v>
      </c>
      <c r="D3" s="94" t="s">
        <v>2</v>
      </c>
      <c r="E3" s="94" t="s">
        <v>189</v>
      </c>
      <c r="F3" s="94" t="s">
        <v>190</v>
      </c>
      <c r="G3" s="94" t="s">
        <v>191</v>
      </c>
      <c r="H3" s="94" t="s">
        <v>192</v>
      </c>
      <c r="I3" s="94" t="s">
        <v>193</v>
      </c>
      <c r="J3" s="94" t="s">
        <v>194</v>
      </c>
      <c r="K3" s="94" t="s">
        <v>195</v>
      </c>
    </row>
    <row r="4">
      <c r="A4" s="95"/>
      <c r="B4" s="32"/>
      <c r="C4" s="32"/>
      <c r="D4" s="32"/>
      <c r="E4" s="32"/>
      <c r="F4" s="32"/>
      <c r="G4" s="95"/>
      <c r="H4" s="96"/>
      <c r="I4" s="95"/>
      <c r="J4" s="97"/>
    </row>
    <row r="5">
      <c r="A5" s="98"/>
      <c r="B5" s="99" t="s">
        <v>351</v>
      </c>
      <c r="C5" s="99" t="s">
        <v>241</v>
      </c>
      <c r="D5" s="99"/>
      <c r="E5" s="99"/>
      <c r="F5" s="99"/>
      <c r="G5" s="105"/>
      <c r="H5" s="101"/>
      <c r="I5" s="102"/>
      <c r="J5" s="103"/>
      <c r="K5" s="99"/>
    </row>
    <row r="6">
      <c r="A6" s="98"/>
      <c r="B6" s="99"/>
      <c r="C6" s="99"/>
      <c r="D6" s="99"/>
      <c r="E6" s="99"/>
      <c r="F6" s="99"/>
      <c r="G6" s="105"/>
      <c r="H6" s="101"/>
      <c r="I6" s="102"/>
      <c r="J6" s="103"/>
      <c r="K6" s="99"/>
    </row>
    <row r="7">
      <c r="A7" s="105"/>
      <c r="B7" s="99"/>
      <c r="C7" s="99"/>
      <c r="D7" s="99"/>
      <c r="E7" s="99"/>
      <c r="F7" s="99"/>
      <c r="G7" s="105"/>
      <c r="H7" s="101"/>
      <c r="I7" s="102"/>
      <c r="J7" s="103"/>
      <c r="K7" s="99"/>
    </row>
    <row r="8">
      <c r="A8" s="105"/>
      <c r="B8" s="99"/>
      <c r="C8" s="99"/>
      <c r="D8" s="99"/>
      <c r="E8" s="99"/>
      <c r="F8" s="99"/>
      <c r="G8" s="105"/>
      <c r="H8" s="101"/>
      <c r="I8" s="102"/>
      <c r="J8" s="99"/>
      <c r="K8" s="99"/>
    </row>
    <row r="9">
      <c r="A9" s="105"/>
      <c r="B9" s="99"/>
      <c r="C9" s="99"/>
      <c r="D9" s="99"/>
      <c r="E9" s="99"/>
      <c r="F9" s="99"/>
      <c r="G9" s="105"/>
      <c r="H9" s="101"/>
      <c r="I9" s="102"/>
      <c r="J9" s="99"/>
      <c r="K9" s="104"/>
    </row>
    <row r="10">
      <c r="A10" s="105"/>
      <c r="B10" s="99"/>
      <c r="C10" s="99"/>
      <c r="D10" s="99"/>
      <c r="E10" s="99"/>
      <c r="F10" s="99"/>
      <c r="G10" s="105"/>
      <c r="H10" s="101"/>
      <c r="I10" s="102"/>
      <c r="J10" s="99"/>
      <c r="K10" s="104"/>
    </row>
    <row r="11">
      <c r="A11" s="105"/>
      <c r="B11" s="99"/>
      <c r="C11" s="99"/>
      <c r="D11" s="99"/>
      <c r="E11" s="99"/>
      <c r="F11" s="99"/>
      <c r="G11" s="105"/>
      <c r="H11" s="101"/>
      <c r="I11" s="102"/>
      <c r="J11" s="99"/>
      <c r="K11" s="104"/>
    </row>
    <row r="12">
      <c r="A12" s="105"/>
      <c r="B12" s="99"/>
      <c r="C12" s="99"/>
      <c r="D12" s="99"/>
      <c r="E12" s="99"/>
      <c r="F12" s="99"/>
      <c r="G12" s="105"/>
      <c r="H12" s="101"/>
      <c r="I12" s="102"/>
      <c r="J12" s="99"/>
      <c r="K12" s="104"/>
    </row>
    <row r="13">
      <c r="A13" s="105"/>
      <c r="B13" s="99"/>
      <c r="C13" s="99"/>
      <c r="D13" s="99"/>
      <c r="E13" s="99"/>
      <c r="F13" s="99"/>
      <c r="G13" s="105"/>
      <c r="H13" s="101"/>
      <c r="I13" s="102"/>
      <c r="J13" s="99"/>
      <c r="K13" s="104"/>
    </row>
    <row r="14">
      <c r="A14" s="105"/>
      <c r="B14" s="99"/>
      <c r="C14" s="99"/>
      <c r="D14" s="99"/>
      <c r="E14" s="99"/>
      <c r="F14" s="99"/>
      <c r="G14" s="105"/>
      <c r="H14" s="101"/>
      <c r="I14" s="102"/>
      <c r="J14" s="99"/>
      <c r="K14" s="104"/>
    </row>
    <row r="15">
      <c r="A15" s="105"/>
      <c r="B15" s="99"/>
      <c r="C15" s="99"/>
      <c r="D15" s="99"/>
      <c r="E15" s="99"/>
      <c r="F15" s="99"/>
      <c r="G15" s="105"/>
      <c r="H15" s="101"/>
      <c r="I15" s="102"/>
      <c r="J15" s="99"/>
      <c r="K15" s="104"/>
    </row>
    <row r="16">
      <c r="A16" s="105"/>
      <c r="B16" s="99"/>
      <c r="C16" s="99"/>
      <c r="D16" s="99"/>
      <c r="E16" s="99"/>
      <c r="F16" s="99"/>
      <c r="G16" s="105"/>
      <c r="H16" s="101"/>
      <c r="I16" s="102"/>
      <c r="J16" s="99"/>
      <c r="K16" s="104"/>
    </row>
    <row r="17">
      <c r="A17" s="105"/>
      <c r="B17" s="99"/>
      <c r="C17" s="99"/>
      <c r="D17" s="99"/>
      <c r="E17" s="99"/>
      <c r="F17" s="99"/>
      <c r="G17" s="105"/>
      <c r="H17" s="101"/>
      <c r="I17" s="102"/>
      <c r="J17" s="99"/>
      <c r="K17" s="104"/>
    </row>
    <row r="18">
      <c r="A18" s="105"/>
      <c r="B18" s="99"/>
      <c r="C18" s="99"/>
      <c r="D18" s="99"/>
      <c r="E18" s="99"/>
      <c r="F18" s="99"/>
      <c r="G18" s="105"/>
      <c r="H18" s="101"/>
      <c r="I18" s="102"/>
      <c r="J18" s="99"/>
      <c r="K18" s="104"/>
    </row>
    <row r="19">
      <c r="A19" s="105"/>
      <c r="B19" s="99"/>
      <c r="C19" s="99"/>
      <c r="D19" s="99"/>
      <c r="E19" s="99"/>
      <c r="F19" s="99"/>
      <c r="G19" s="105"/>
      <c r="H19" s="101"/>
      <c r="I19" s="102"/>
      <c r="J19" s="99"/>
      <c r="K19" s="104"/>
    </row>
    <row r="20">
      <c r="A20" s="105"/>
      <c r="B20" s="99"/>
      <c r="C20" s="99"/>
      <c r="D20" s="99"/>
      <c r="E20" s="99"/>
      <c r="F20" s="99"/>
      <c r="G20" s="105"/>
      <c r="H20" s="101"/>
      <c r="I20" s="102"/>
      <c r="J20" s="99"/>
      <c r="K20" s="104"/>
    </row>
    <row r="21">
      <c r="A21" s="105"/>
      <c r="B21" s="99"/>
      <c r="C21" s="99"/>
      <c r="D21" s="99"/>
      <c r="E21" s="99"/>
      <c r="F21" s="99"/>
      <c r="G21" s="105"/>
      <c r="H21" s="101"/>
      <c r="I21" s="102"/>
      <c r="J21" s="99"/>
      <c r="K21" s="104"/>
    </row>
    <row r="22">
      <c r="A22" s="105"/>
      <c r="B22" s="99"/>
      <c r="C22" s="99"/>
      <c r="D22" s="99"/>
      <c r="E22" s="99"/>
      <c r="F22" s="99"/>
      <c r="G22" s="105"/>
      <c r="H22" s="101"/>
      <c r="I22" s="102"/>
      <c r="J22" s="99"/>
      <c r="K22" s="104"/>
    </row>
    <row r="23">
      <c r="A23" s="105"/>
      <c r="B23" s="99"/>
      <c r="C23" s="99"/>
      <c r="D23" s="99"/>
      <c r="E23" s="99"/>
      <c r="F23" s="99"/>
      <c r="G23" s="105"/>
      <c r="H23" s="101"/>
      <c r="I23" s="102"/>
      <c r="J23" s="99"/>
      <c r="K23" s="104"/>
    </row>
    <row r="24">
      <c r="A24" s="105"/>
      <c r="B24" s="99"/>
      <c r="C24" s="99"/>
      <c r="D24" s="99"/>
      <c r="E24" s="99"/>
      <c r="F24" s="99"/>
      <c r="G24" s="105"/>
      <c r="H24" s="101"/>
      <c r="I24" s="102"/>
      <c r="J24" s="99"/>
      <c r="K24" s="104"/>
    </row>
    <row r="25">
      <c r="A25" s="105"/>
      <c r="B25" s="99"/>
      <c r="C25" s="99"/>
      <c r="D25" s="99"/>
      <c r="E25" s="99"/>
      <c r="F25" s="99"/>
      <c r="G25" s="105"/>
      <c r="H25" s="101"/>
      <c r="I25" s="102"/>
      <c r="J25" s="99"/>
      <c r="K25" s="104"/>
    </row>
    <row r="26">
      <c r="A26" s="105"/>
      <c r="B26" s="99"/>
      <c r="C26" s="99"/>
      <c r="D26" s="99"/>
      <c r="E26" s="99"/>
      <c r="F26" s="99"/>
      <c r="G26" s="105"/>
      <c r="H26" s="101"/>
      <c r="I26" s="102"/>
      <c r="J26" s="99"/>
      <c r="K26" s="104"/>
    </row>
    <row r="27">
      <c r="A27" s="105"/>
      <c r="B27" s="99"/>
      <c r="C27" s="99"/>
      <c r="D27" s="99"/>
      <c r="E27" s="99"/>
      <c r="F27" s="99"/>
      <c r="G27" s="105"/>
      <c r="H27" s="101"/>
      <c r="I27" s="102"/>
      <c r="J27" s="99"/>
      <c r="K27" s="104"/>
    </row>
    <row r="28">
      <c r="A28" s="105"/>
      <c r="B28" s="99"/>
      <c r="C28" s="99"/>
      <c r="D28" s="99"/>
      <c r="E28" s="99"/>
      <c r="F28" s="99"/>
      <c r="G28" s="105"/>
      <c r="H28" s="101"/>
      <c r="I28" s="102"/>
      <c r="J28" s="99"/>
      <c r="K28" s="104"/>
    </row>
    <row r="29">
      <c r="A29" s="105"/>
      <c r="B29" s="99"/>
      <c r="C29" s="99"/>
      <c r="D29" s="99"/>
      <c r="E29" s="99"/>
      <c r="F29" s="99"/>
      <c r="G29" s="105"/>
      <c r="H29" s="101"/>
      <c r="I29" s="102"/>
      <c r="J29" s="99"/>
      <c r="K29" s="104"/>
    </row>
    <row r="30">
      <c r="A30" s="105"/>
      <c r="B30" s="99"/>
      <c r="C30" s="99"/>
      <c r="D30" s="99"/>
      <c r="E30" s="99"/>
      <c r="F30" s="99"/>
      <c r="G30" s="105"/>
      <c r="H30" s="101"/>
      <c r="I30" s="102"/>
      <c r="J30" s="99"/>
      <c r="K30" s="104"/>
    </row>
    <row r="31">
      <c r="A31" s="105"/>
      <c r="B31" s="99"/>
      <c r="C31" s="99"/>
      <c r="D31" s="99"/>
      <c r="E31" s="99"/>
      <c r="F31" s="99"/>
      <c r="G31" s="105"/>
      <c r="H31" s="101"/>
      <c r="I31" s="102"/>
      <c r="J31" s="99"/>
      <c r="K31" s="104"/>
    </row>
    <row r="32">
      <c r="A32" s="105"/>
      <c r="B32" s="99"/>
      <c r="C32" s="99"/>
      <c r="D32" s="99"/>
      <c r="E32" s="99"/>
      <c r="F32" s="99"/>
      <c r="G32" s="105"/>
      <c r="H32" s="101"/>
      <c r="I32" s="102"/>
      <c r="J32" s="99"/>
      <c r="K32" s="104"/>
    </row>
    <row r="33">
      <c r="A33" s="105"/>
      <c r="B33" s="99"/>
      <c r="C33" s="99"/>
      <c r="D33" s="99"/>
      <c r="E33" s="99"/>
      <c r="F33" s="99"/>
      <c r="G33" s="105"/>
      <c r="H33" s="101"/>
      <c r="I33" s="102"/>
      <c r="J33" s="99"/>
      <c r="K33" s="104"/>
    </row>
    <row r="34">
      <c r="A34" s="105"/>
      <c r="B34" s="99"/>
      <c r="C34" s="99"/>
      <c r="D34" s="99"/>
      <c r="E34" s="99"/>
      <c r="F34" s="99"/>
      <c r="G34" s="105"/>
      <c r="H34" s="101"/>
      <c r="I34" s="102"/>
      <c r="J34" s="99"/>
      <c r="K34" s="104"/>
    </row>
    <row r="35">
      <c r="A35" s="105"/>
      <c r="B35" s="99"/>
      <c r="C35" s="99"/>
      <c r="D35" s="99"/>
      <c r="E35" s="99"/>
      <c r="F35" s="99"/>
      <c r="G35" s="105"/>
      <c r="H35" s="101"/>
      <c r="I35" s="102"/>
      <c r="J35" s="99"/>
      <c r="K35" s="104"/>
    </row>
    <row r="36">
      <c r="A36" s="105"/>
      <c r="B36" s="99"/>
      <c r="C36" s="99"/>
      <c r="D36" s="99"/>
      <c r="E36" s="99"/>
      <c r="F36" s="99"/>
      <c r="G36" s="105"/>
      <c r="H36" s="101"/>
      <c r="I36" s="102"/>
      <c r="J36" s="99"/>
      <c r="K36" s="104"/>
    </row>
    <row r="37">
      <c r="A37" s="105"/>
      <c r="B37" s="99"/>
      <c r="C37" s="99"/>
      <c r="D37" s="99"/>
      <c r="E37" s="99"/>
      <c r="F37" s="99"/>
      <c r="G37" s="105"/>
      <c r="H37" s="101"/>
      <c r="I37" s="102"/>
      <c r="J37" s="99"/>
      <c r="K37" s="104"/>
    </row>
    <row r="38">
      <c r="A38" s="106"/>
      <c r="B38" s="99"/>
      <c r="C38" s="99"/>
      <c r="D38" s="99"/>
      <c r="E38" s="99"/>
      <c r="F38" s="99"/>
      <c r="G38" s="105"/>
      <c r="H38" s="101"/>
      <c r="I38" s="102"/>
      <c r="J38" s="99"/>
      <c r="K38" s="104"/>
    </row>
    <row r="39">
      <c r="A39" s="106"/>
      <c r="B39" s="99"/>
      <c r="C39" s="99"/>
      <c r="D39" s="99"/>
      <c r="E39" s="99"/>
      <c r="F39" s="99"/>
      <c r="G39" s="105"/>
      <c r="H39" s="101"/>
      <c r="I39" s="102"/>
      <c r="J39" s="99"/>
      <c r="K39" s="104"/>
    </row>
    <row r="40">
      <c r="A40" s="106"/>
      <c r="B40" s="99"/>
      <c r="C40" s="99"/>
      <c r="D40" s="99"/>
      <c r="E40" s="99"/>
      <c r="F40" s="99"/>
      <c r="G40" s="105"/>
      <c r="H40" s="101"/>
      <c r="I40" s="102"/>
      <c r="J40" s="104"/>
      <c r="K40" s="104"/>
    </row>
    <row r="41">
      <c r="A41" s="106"/>
      <c r="B41" s="99"/>
      <c r="C41" s="99"/>
      <c r="D41" s="99"/>
      <c r="E41" s="99"/>
      <c r="F41" s="99"/>
      <c r="G41" s="105"/>
      <c r="H41" s="101"/>
      <c r="I41" s="102"/>
      <c r="J41" s="104"/>
      <c r="K41" s="104"/>
    </row>
    <row r="42">
      <c r="A42" s="106"/>
      <c r="B42" s="99"/>
      <c r="C42" s="99"/>
      <c r="D42" s="99"/>
      <c r="E42" s="99"/>
      <c r="F42" s="99"/>
      <c r="G42" s="105"/>
      <c r="H42" s="101"/>
      <c r="I42" s="102"/>
      <c r="J42" s="104"/>
      <c r="K42" s="104"/>
    </row>
    <row r="43">
      <c r="A43" s="106"/>
      <c r="B43" s="99"/>
      <c r="C43" s="99"/>
      <c r="D43" s="99"/>
      <c r="E43" s="99"/>
      <c r="F43" s="99"/>
      <c r="G43" s="105"/>
      <c r="H43" s="101"/>
      <c r="I43" s="102"/>
      <c r="J43" s="104"/>
      <c r="K43" s="104"/>
    </row>
    <row r="44">
      <c r="A44" s="106"/>
      <c r="B44" s="99"/>
      <c r="C44" s="99"/>
      <c r="D44" s="99"/>
      <c r="E44" s="99"/>
      <c r="F44" s="99"/>
      <c r="G44" s="105"/>
      <c r="H44" s="101"/>
      <c r="I44" s="102"/>
      <c r="J44" s="99"/>
      <c r="K44" s="104"/>
    </row>
    <row r="45">
      <c r="A45" s="106"/>
      <c r="B45" s="99"/>
      <c r="C45" s="99"/>
      <c r="D45" s="99"/>
      <c r="E45" s="99"/>
      <c r="F45" s="99"/>
      <c r="G45" s="105"/>
      <c r="H45" s="101"/>
      <c r="I45" s="102"/>
      <c r="J45" s="99"/>
      <c r="K45" s="104"/>
    </row>
    <row r="46">
      <c r="A46" s="105"/>
      <c r="B46" s="99"/>
      <c r="C46" s="99"/>
      <c r="D46" s="99"/>
      <c r="E46" s="99"/>
      <c r="F46" s="99"/>
      <c r="G46" s="105"/>
      <c r="H46" s="101"/>
      <c r="I46" s="102"/>
      <c r="J46" s="99"/>
      <c r="K46" s="104"/>
    </row>
    <row r="47">
      <c r="A47" s="106"/>
      <c r="B47" s="99"/>
      <c r="C47" s="99"/>
      <c r="D47" s="99"/>
      <c r="E47" s="99"/>
      <c r="F47" s="99"/>
      <c r="G47" s="105"/>
      <c r="H47" s="101"/>
      <c r="I47" s="102"/>
      <c r="J47" s="99"/>
      <c r="K47" s="104"/>
    </row>
    <row r="48">
      <c r="A48" s="106"/>
      <c r="B48" s="99"/>
      <c r="C48" s="99"/>
      <c r="D48" s="99"/>
      <c r="E48" s="99"/>
      <c r="F48" s="99"/>
      <c r="G48" s="105"/>
      <c r="H48" s="101"/>
      <c r="I48" s="102"/>
      <c r="J48" s="99"/>
      <c r="K48" s="104"/>
    </row>
    <row r="49">
      <c r="A49" s="106"/>
      <c r="B49" s="99"/>
      <c r="C49" s="99"/>
      <c r="D49" s="99"/>
      <c r="E49" s="99"/>
      <c r="F49" s="99"/>
      <c r="G49" s="105"/>
      <c r="H49" s="101"/>
      <c r="I49" s="102"/>
      <c r="J49" s="99"/>
      <c r="K49" s="104"/>
    </row>
    <row r="50">
      <c r="A50" s="106"/>
      <c r="B50" s="99"/>
      <c r="C50" s="99"/>
      <c r="D50" s="99"/>
      <c r="E50" s="99"/>
      <c r="F50" s="99"/>
      <c r="G50" s="105"/>
      <c r="H50" s="101"/>
      <c r="I50" s="102"/>
      <c r="J50" s="104"/>
      <c r="K50" s="104"/>
    </row>
    <row r="51">
      <c r="A51" s="106"/>
      <c r="B51" s="99"/>
      <c r="C51" s="99"/>
      <c r="D51" s="99"/>
      <c r="E51" s="99"/>
      <c r="F51" s="99"/>
      <c r="G51" s="105"/>
      <c r="H51" s="101"/>
      <c r="I51" s="102"/>
      <c r="J51" s="104"/>
      <c r="K51" s="104"/>
    </row>
    <row r="52">
      <c r="A52" s="106"/>
      <c r="B52" s="99"/>
      <c r="C52" s="99"/>
      <c r="D52" s="99"/>
      <c r="E52" s="99"/>
      <c r="F52" s="99"/>
      <c r="G52" s="105"/>
      <c r="H52" s="101"/>
      <c r="I52" s="102"/>
      <c r="J52" s="104"/>
      <c r="K52" s="104"/>
    </row>
    <row r="53">
      <c r="A53" s="106"/>
      <c r="B53" s="99"/>
      <c r="C53" s="99"/>
      <c r="D53" s="99"/>
      <c r="E53" s="99"/>
      <c r="F53" s="99"/>
      <c r="G53" s="105"/>
      <c r="H53" s="101"/>
      <c r="I53" s="102"/>
      <c r="J53" s="104"/>
      <c r="K53" s="104"/>
    </row>
    <row r="54">
      <c r="A54" s="106"/>
      <c r="B54" s="99"/>
      <c r="C54" s="99"/>
      <c r="D54" s="99"/>
      <c r="E54" s="99"/>
      <c r="F54" s="99"/>
      <c r="G54" s="105"/>
      <c r="H54" s="101"/>
      <c r="I54" s="102"/>
      <c r="J54" s="104"/>
      <c r="K54" s="104"/>
    </row>
    <row r="55">
      <c r="A55" s="106"/>
      <c r="B55" s="99"/>
      <c r="C55" s="99"/>
      <c r="D55" s="99"/>
      <c r="E55" s="99"/>
      <c r="F55" s="99"/>
      <c r="G55" s="105"/>
      <c r="H55" s="101"/>
      <c r="I55" s="102"/>
      <c r="J55" s="104"/>
      <c r="K55" s="104"/>
    </row>
    <row r="56">
      <c r="A56" s="106"/>
      <c r="B56" s="99"/>
      <c r="C56" s="99"/>
      <c r="D56" s="99"/>
      <c r="E56" s="99"/>
      <c r="F56" s="99"/>
      <c r="G56" s="105"/>
      <c r="H56" s="101"/>
      <c r="I56" s="102"/>
      <c r="J56" s="104"/>
      <c r="K56" s="104"/>
    </row>
    <row r="57">
      <c r="A57" s="106"/>
      <c r="B57" s="99"/>
      <c r="C57" s="99"/>
      <c r="D57" s="99"/>
      <c r="E57" s="99"/>
      <c r="F57" s="99"/>
      <c r="G57" s="105"/>
      <c r="H57" s="101"/>
      <c r="I57" s="102"/>
      <c r="J57" s="104"/>
      <c r="K57" s="104"/>
    </row>
    <row r="58">
      <c r="A58" s="106"/>
      <c r="B58" s="99"/>
      <c r="C58" s="99"/>
      <c r="D58" s="99"/>
      <c r="E58" s="99"/>
      <c r="F58" s="99"/>
      <c r="G58" s="105"/>
      <c r="H58" s="101"/>
      <c r="I58" s="102"/>
      <c r="J58" s="104"/>
      <c r="K58" s="104"/>
    </row>
    <row r="59">
      <c r="A59" s="106"/>
      <c r="B59" s="99"/>
      <c r="C59" s="99"/>
      <c r="D59" s="99"/>
      <c r="E59" s="99"/>
      <c r="F59" s="99"/>
      <c r="G59" s="105"/>
      <c r="H59" s="101"/>
      <c r="I59" s="102"/>
      <c r="J59" s="104"/>
      <c r="K59" s="104"/>
    </row>
    <row r="60">
      <c r="A60" s="106"/>
      <c r="B60" s="99"/>
      <c r="C60" s="99"/>
      <c r="D60" s="99"/>
      <c r="E60" s="99"/>
      <c r="F60" s="99"/>
      <c r="G60" s="105"/>
      <c r="H60" s="101"/>
      <c r="I60" s="102"/>
      <c r="J60" s="104"/>
      <c r="K60" s="104"/>
    </row>
    <row r="61">
      <c r="A61" s="106"/>
      <c r="B61" s="99"/>
      <c r="C61" s="99"/>
      <c r="D61" s="99"/>
      <c r="E61" s="99"/>
      <c r="F61" s="99"/>
      <c r="G61" s="105"/>
      <c r="H61" s="101"/>
      <c r="I61" s="102"/>
      <c r="J61" s="104"/>
      <c r="K61" s="104"/>
    </row>
    <row r="62">
      <c r="A62" s="106"/>
      <c r="B62" s="99"/>
      <c r="C62" s="99"/>
      <c r="D62" s="99"/>
      <c r="E62" s="99"/>
      <c r="F62" s="99"/>
      <c r="G62" s="105"/>
      <c r="H62" s="101"/>
      <c r="I62" s="102"/>
      <c r="J62" s="104"/>
      <c r="K62" s="104"/>
    </row>
    <row r="63">
      <c r="A63" s="106"/>
      <c r="B63" s="99"/>
      <c r="C63" s="99"/>
      <c r="D63" s="99"/>
      <c r="E63" s="99"/>
      <c r="F63" s="99"/>
      <c r="G63" s="105"/>
      <c r="H63" s="101"/>
      <c r="I63" s="102"/>
      <c r="J63" s="104"/>
      <c r="K63" s="104"/>
    </row>
    <row r="64">
      <c r="A64" s="106"/>
      <c r="B64" s="99"/>
      <c r="C64" s="99"/>
      <c r="D64" s="99"/>
      <c r="E64" s="99"/>
      <c r="F64" s="99"/>
      <c r="G64" s="105"/>
      <c r="H64" s="101"/>
      <c r="I64" s="102"/>
      <c r="J64" s="104"/>
      <c r="K64" s="104"/>
    </row>
    <row r="65">
      <c r="A65" s="106"/>
      <c r="B65" s="99"/>
      <c r="C65" s="99"/>
      <c r="D65" s="99"/>
      <c r="E65" s="99"/>
      <c r="F65" s="99"/>
      <c r="G65" s="105"/>
      <c r="H65" s="101"/>
      <c r="I65" s="102"/>
      <c r="J65" s="104"/>
      <c r="K65" s="104"/>
    </row>
    <row r="66">
      <c r="A66" s="106"/>
      <c r="B66" s="99"/>
      <c r="C66" s="99"/>
      <c r="D66" s="99"/>
      <c r="E66" s="99"/>
      <c r="F66" s="99"/>
      <c r="G66" s="105"/>
      <c r="H66" s="101"/>
      <c r="I66" s="102"/>
      <c r="J66" s="104"/>
      <c r="K66" s="104"/>
    </row>
    <row r="67">
      <c r="A67" s="106"/>
      <c r="B67" s="99"/>
      <c r="C67" s="99"/>
      <c r="D67" s="99"/>
      <c r="E67" s="99"/>
      <c r="F67" s="99"/>
      <c r="G67" s="105"/>
      <c r="H67" s="101"/>
      <c r="I67" s="102"/>
      <c r="J67" s="104"/>
      <c r="K67" s="104"/>
    </row>
    <row r="68">
      <c r="A68" s="106"/>
      <c r="B68" s="99"/>
      <c r="C68" s="99"/>
      <c r="D68" s="99"/>
      <c r="E68" s="99"/>
      <c r="F68" s="99"/>
      <c r="G68" s="105"/>
      <c r="H68" s="101"/>
      <c r="I68" s="102"/>
      <c r="J68" s="104"/>
      <c r="K68" s="104"/>
    </row>
    <row r="69">
      <c r="A69" s="106"/>
      <c r="B69" s="99"/>
      <c r="C69" s="99"/>
      <c r="D69" s="99"/>
      <c r="E69" s="99"/>
      <c r="F69" s="99"/>
      <c r="G69" s="105"/>
      <c r="H69" s="101"/>
      <c r="I69" s="102"/>
      <c r="J69" s="104"/>
      <c r="K69" s="104"/>
    </row>
    <row r="70">
      <c r="A70" s="106"/>
      <c r="B70" s="99"/>
      <c r="C70" s="99"/>
      <c r="D70" s="99"/>
      <c r="E70" s="99"/>
      <c r="F70" s="99"/>
      <c r="G70" s="105"/>
      <c r="H70" s="101"/>
      <c r="I70" s="102"/>
      <c r="J70" s="104"/>
      <c r="K70" s="104"/>
    </row>
    <row r="71">
      <c r="A71" s="106"/>
      <c r="B71" s="99"/>
      <c r="C71" s="99"/>
      <c r="D71" s="99"/>
      <c r="E71" s="99"/>
      <c r="F71" s="99"/>
      <c r="G71" s="105"/>
      <c r="H71" s="101"/>
      <c r="I71" s="102"/>
      <c r="J71" s="104"/>
      <c r="K71" s="104"/>
    </row>
    <row r="72">
      <c r="A72" s="106"/>
      <c r="B72" s="99"/>
      <c r="C72" s="99"/>
      <c r="D72" s="99"/>
      <c r="E72" s="99"/>
      <c r="F72" s="99"/>
      <c r="G72" s="105"/>
      <c r="H72" s="101"/>
      <c r="I72" s="102"/>
      <c r="J72" s="104"/>
      <c r="K72" s="104"/>
    </row>
    <row r="73">
      <c r="A73" s="106"/>
      <c r="B73" s="99"/>
      <c r="C73" s="99"/>
      <c r="D73" s="99"/>
      <c r="E73" s="99"/>
      <c r="F73" s="99"/>
      <c r="G73" s="105"/>
      <c r="H73" s="101"/>
      <c r="I73" s="102"/>
      <c r="J73" s="104"/>
      <c r="K73" s="104"/>
    </row>
    <row r="74">
      <c r="A74" s="106"/>
      <c r="B74" s="99"/>
      <c r="C74" s="99"/>
      <c r="D74" s="99"/>
      <c r="E74" s="99"/>
      <c r="F74" s="99"/>
      <c r="G74" s="105"/>
      <c r="H74" s="101"/>
      <c r="I74" s="102"/>
      <c r="J74" s="104"/>
      <c r="K74" s="104"/>
    </row>
    <row r="75">
      <c r="A75" s="106"/>
      <c r="B75" s="99"/>
      <c r="C75" s="99"/>
      <c r="D75" s="99"/>
      <c r="E75" s="99"/>
      <c r="F75" s="99"/>
      <c r="G75" s="105"/>
      <c r="H75" s="101"/>
      <c r="I75" s="102"/>
      <c r="J75" s="104"/>
      <c r="K75" s="104"/>
    </row>
    <row r="76">
      <c r="A76" s="106"/>
      <c r="B76" s="99"/>
      <c r="C76" s="99"/>
      <c r="D76" s="99"/>
      <c r="E76" s="99"/>
      <c r="F76" s="99"/>
      <c r="G76" s="105"/>
      <c r="H76" s="101"/>
      <c r="I76" s="102"/>
      <c r="J76" s="104"/>
      <c r="K76" s="104"/>
    </row>
    <row r="77">
      <c r="A77" s="106"/>
      <c r="B77" s="99"/>
      <c r="C77" s="99"/>
      <c r="D77" s="99"/>
      <c r="E77" s="99"/>
      <c r="F77" s="99"/>
      <c r="G77" s="105"/>
      <c r="H77" s="101"/>
      <c r="I77" s="102"/>
      <c r="J77" s="104"/>
      <c r="K77" s="104"/>
    </row>
    <row r="78">
      <c r="A78" s="106"/>
      <c r="B78" s="99"/>
      <c r="C78" s="99"/>
      <c r="D78" s="99"/>
      <c r="E78" s="99"/>
      <c r="F78" s="99"/>
      <c r="G78" s="105"/>
      <c r="H78" s="101"/>
      <c r="I78" s="102"/>
      <c r="J78" s="104"/>
      <c r="K78" s="104"/>
    </row>
    <row r="79">
      <c r="A79" s="106"/>
      <c r="B79" s="99"/>
      <c r="C79" s="99"/>
      <c r="D79" s="99"/>
      <c r="E79" s="99"/>
      <c r="F79" s="99"/>
      <c r="G79" s="105"/>
      <c r="H79" s="101"/>
      <c r="I79" s="102"/>
      <c r="J79" s="104"/>
      <c r="K79" s="104"/>
    </row>
    <row r="80">
      <c r="A80" s="106"/>
      <c r="B80" s="99"/>
      <c r="C80" s="99"/>
      <c r="D80" s="99"/>
      <c r="E80" s="99"/>
      <c r="F80" s="99"/>
      <c r="G80" s="105"/>
      <c r="H80" s="101"/>
      <c r="I80" s="102"/>
      <c r="J80" s="104"/>
      <c r="K80" s="104"/>
    </row>
    <row r="81">
      <c r="A81" s="106"/>
      <c r="B81" s="99"/>
      <c r="C81" s="99"/>
      <c r="D81" s="99"/>
      <c r="E81" s="99"/>
      <c r="F81" s="99"/>
      <c r="G81" s="105"/>
      <c r="H81" s="101"/>
      <c r="I81" s="102"/>
      <c r="J81" s="104"/>
      <c r="K81" s="104"/>
    </row>
    <row r="82">
      <c r="A82" s="106"/>
      <c r="B82" s="99"/>
      <c r="C82" s="99"/>
      <c r="D82" s="99"/>
      <c r="E82" s="99"/>
      <c r="F82" s="99"/>
      <c r="G82" s="105"/>
      <c r="H82" s="101"/>
      <c r="I82" s="102"/>
      <c r="J82" s="104"/>
      <c r="K82" s="104"/>
    </row>
    <row r="83">
      <c r="A83" s="106"/>
      <c r="B83" s="99"/>
      <c r="C83" s="99"/>
      <c r="D83" s="99"/>
      <c r="E83" s="99"/>
      <c r="F83" s="99"/>
      <c r="G83" s="105"/>
      <c r="H83" s="101"/>
      <c r="I83" s="102"/>
      <c r="J83" s="104"/>
      <c r="K83" s="104"/>
    </row>
    <row r="84">
      <c r="A84" s="106"/>
      <c r="B84" s="99"/>
      <c r="C84" s="99"/>
      <c r="D84" s="99"/>
      <c r="E84" s="99"/>
      <c r="F84" s="99"/>
      <c r="G84" s="105"/>
      <c r="H84" s="101"/>
      <c r="I84" s="102"/>
      <c r="J84" s="104"/>
      <c r="K84" s="104"/>
    </row>
    <row r="85">
      <c r="A85" s="106"/>
      <c r="B85" s="99"/>
      <c r="C85" s="99"/>
      <c r="D85" s="99"/>
      <c r="E85" s="99"/>
      <c r="F85" s="99"/>
      <c r="G85" s="105"/>
      <c r="H85" s="101"/>
      <c r="I85" s="102"/>
      <c r="J85" s="104"/>
      <c r="K85" s="104"/>
    </row>
    <row r="86">
      <c r="A86" s="106"/>
      <c r="B86" s="99"/>
      <c r="C86" s="99"/>
      <c r="D86" s="99"/>
      <c r="E86" s="99"/>
      <c r="F86" s="99"/>
      <c r="G86" s="105"/>
      <c r="H86" s="101"/>
      <c r="I86" s="102"/>
      <c r="J86" s="104"/>
      <c r="K86" s="104"/>
    </row>
    <row r="87">
      <c r="A87" s="106"/>
      <c r="B87" s="99"/>
      <c r="C87" s="99"/>
      <c r="D87" s="99"/>
      <c r="E87" s="99"/>
      <c r="F87" s="99"/>
      <c r="G87" s="105"/>
      <c r="H87" s="101"/>
      <c r="I87" s="102"/>
      <c r="J87" s="104"/>
      <c r="K87" s="104"/>
    </row>
    <row r="88">
      <c r="A88" s="106"/>
      <c r="B88" s="99"/>
      <c r="C88" s="99"/>
      <c r="D88" s="99"/>
      <c r="E88" s="99"/>
      <c r="F88" s="99"/>
      <c r="G88" s="105"/>
      <c r="H88" s="101"/>
      <c r="I88" s="102"/>
      <c r="J88" s="104"/>
      <c r="K88" s="104"/>
    </row>
    <row r="89">
      <c r="A89" s="106"/>
      <c r="B89" s="99"/>
      <c r="C89" s="99"/>
      <c r="D89" s="99"/>
      <c r="E89" s="99"/>
      <c r="F89" s="99"/>
      <c r="G89" s="106"/>
      <c r="H89" s="106"/>
      <c r="I89" s="106"/>
      <c r="J89" s="104"/>
      <c r="K89" s="104"/>
    </row>
    <row r="90">
      <c r="A90" s="106"/>
      <c r="B90" s="99"/>
      <c r="C90" s="99"/>
      <c r="D90" s="99"/>
      <c r="E90" s="99"/>
      <c r="F90" s="99"/>
      <c r="G90" s="106"/>
      <c r="H90" s="106"/>
      <c r="I90" s="106"/>
      <c r="J90" s="104"/>
      <c r="K90" s="104"/>
    </row>
    <row r="91">
      <c r="A91" s="106"/>
      <c r="B91" s="99"/>
      <c r="C91" s="99"/>
      <c r="D91" s="99"/>
      <c r="E91" s="99"/>
      <c r="F91" s="99"/>
      <c r="G91" s="106"/>
      <c r="H91" s="106"/>
      <c r="I91" s="106"/>
      <c r="J91" s="104"/>
      <c r="K91" s="104"/>
    </row>
    <row r="92">
      <c r="A92" s="106"/>
      <c r="B92" s="99"/>
      <c r="C92" s="99"/>
      <c r="D92" s="99"/>
      <c r="E92" s="99"/>
      <c r="F92" s="99"/>
      <c r="G92" s="106"/>
      <c r="H92" s="106"/>
      <c r="I92" s="106"/>
      <c r="J92" s="104"/>
      <c r="K92" s="104"/>
    </row>
    <row r="93">
      <c r="A93" s="106"/>
      <c r="B93" s="99"/>
      <c r="C93" s="99"/>
      <c r="D93" s="99"/>
      <c r="E93" s="99"/>
      <c r="F93" s="99"/>
      <c r="G93" s="106"/>
      <c r="H93" s="106"/>
      <c r="I93" s="106"/>
      <c r="J93" s="104"/>
      <c r="K93" s="104"/>
    </row>
    <row r="94">
      <c r="A94" s="106"/>
      <c r="B94" s="99"/>
      <c r="C94" s="99"/>
      <c r="D94" s="99"/>
      <c r="E94" s="99"/>
      <c r="F94" s="99"/>
      <c r="G94" s="106"/>
      <c r="H94" s="106"/>
      <c r="I94" s="106"/>
      <c r="J94" s="104"/>
      <c r="K94" s="104"/>
    </row>
    <row r="95">
      <c r="A95" s="106"/>
      <c r="B95" s="99"/>
      <c r="C95" s="99"/>
      <c r="D95" s="99"/>
      <c r="E95" s="99"/>
      <c r="F95" s="99"/>
      <c r="G95" s="106"/>
      <c r="H95" s="106"/>
      <c r="I95" s="106"/>
      <c r="J95" s="104"/>
      <c r="K95" s="104"/>
    </row>
    <row r="96">
      <c r="A96" s="106"/>
      <c r="B96" s="99"/>
      <c r="C96" s="99"/>
      <c r="D96" s="99"/>
      <c r="E96" s="99"/>
      <c r="F96" s="99"/>
      <c r="G96" s="106"/>
      <c r="H96" s="106"/>
      <c r="I96" s="106"/>
      <c r="J96" s="104"/>
      <c r="K96" s="104"/>
    </row>
    <row r="97">
      <c r="A97" s="106"/>
      <c r="B97" s="99"/>
      <c r="C97" s="99"/>
      <c r="D97" s="99"/>
      <c r="E97" s="99"/>
      <c r="F97" s="99"/>
      <c r="G97" s="106"/>
      <c r="H97" s="106"/>
      <c r="I97" s="106"/>
      <c r="J97" s="104"/>
      <c r="K97" s="104"/>
    </row>
    <row r="98">
      <c r="A98" s="106"/>
      <c r="B98" s="99"/>
      <c r="C98" s="99"/>
      <c r="D98" s="99"/>
      <c r="E98" s="99"/>
      <c r="F98" s="99"/>
      <c r="G98" s="106"/>
      <c r="H98" s="106"/>
      <c r="I98" s="106"/>
      <c r="J98" s="104"/>
      <c r="K98" s="104"/>
    </row>
    <row r="99">
      <c r="A99" s="106"/>
      <c r="B99" s="99"/>
      <c r="C99" s="99"/>
      <c r="D99" s="99"/>
      <c r="E99" s="99"/>
      <c r="F99" s="99"/>
      <c r="G99" s="106"/>
      <c r="H99" s="106"/>
      <c r="I99" s="106"/>
      <c r="J99" s="104"/>
      <c r="K99" s="104"/>
    </row>
    <row r="100">
      <c r="A100" s="106"/>
      <c r="B100" s="99"/>
      <c r="C100" s="99"/>
      <c r="D100" s="99"/>
      <c r="E100" s="99"/>
      <c r="F100" s="99"/>
      <c r="G100" s="106"/>
      <c r="H100" s="106"/>
      <c r="I100" s="106"/>
      <c r="J100" s="104"/>
      <c r="K100" s="104"/>
    </row>
  </sheetData>
  <autoFilter ref="$A$4:$K$100"/>
  <customSheetViews>
    <customSheetView guid="{702A14C5-304D-40D0-8B4D-3F24FE2109FE}" filter="1" showAutoFilter="1">
      <autoFilter ref="$A$4:$K$100"/>
    </customSheetView>
  </customSheetViews>
  <mergeCells count="1">
    <mergeCell ref="E1:K1"/>
  </mergeCells>
  <dataValidations>
    <dataValidation type="list" allowBlank="1" sqref="D5:D100">
      <formula1>BAY</formula1>
    </dataValidation>
    <dataValidation type="list" allowBlank="1" sqref="E5:E100">
      <formula1>PROTEKSI</formula1>
    </dataValidation>
    <dataValidation type="list" allowBlank="1" showErrorMessage="1" sqref="C5:C100">
      <formula1>DV!$N$2:$N$35</formula1>
    </dataValidation>
    <dataValidation type="list" allowBlank="1" showErrorMessage="1" sqref="B5:B100">
      <formula1>"ULTG ANGKE,ULTG DURIKOSAMBI,ULTG CITRA RAYA"</formula1>
    </dataValidation>
    <dataValidation type="list" allowBlank="1" showErrorMessage="1" sqref="K5:K100">
      <formula1>"ON PROG,FINISHED"</formula1>
    </dataValidation>
    <dataValidation type="list" allowBlank="1" sqref="F5:F100">
      <formula1>PEMOHON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</cols>
  <sheetData>
    <row r="1">
      <c r="A1" s="107" t="s">
        <v>1</v>
      </c>
      <c r="C1" s="107" t="s">
        <v>2</v>
      </c>
      <c r="E1" s="107"/>
      <c r="F1" s="107" t="s">
        <v>189</v>
      </c>
      <c r="H1" s="107" t="s">
        <v>190</v>
      </c>
      <c r="L1" s="108" t="s">
        <v>422</v>
      </c>
    </row>
    <row r="2">
      <c r="A2" s="109" t="s">
        <v>196</v>
      </c>
      <c r="C2" s="110" t="s">
        <v>423</v>
      </c>
      <c r="E2" s="32"/>
      <c r="F2" s="32" t="s">
        <v>234</v>
      </c>
      <c r="H2" s="32" t="s">
        <v>23</v>
      </c>
      <c r="L2" s="111" t="s">
        <v>424</v>
      </c>
      <c r="M2" s="111" t="s">
        <v>351</v>
      </c>
      <c r="N2" s="111" t="s">
        <v>196</v>
      </c>
      <c r="P2" s="32" t="s">
        <v>425</v>
      </c>
    </row>
    <row r="3">
      <c r="A3" s="109" t="s">
        <v>288</v>
      </c>
      <c r="C3" s="110" t="s">
        <v>426</v>
      </c>
      <c r="E3" s="32"/>
      <c r="F3" s="32" t="s">
        <v>17</v>
      </c>
      <c r="H3" s="32" t="s">
        <v>214</v>
      </c>
      <c r="L3" s="111" t="s">
        <v>424</v>
      </c>
      <c r="M3" s="111" t="s">
        <v>199</v>
      </c>
      <c r="N3" s="111" t="s">
        <v>269</v>
      </c>
      <c r="P3" s="32" t="s">
        <v>427</v>
      </c>
    </row>
    <row r="4" hidden="1">
      <c r="A4" s="109" t="s">
        <v>269</v>
      </c>
      <c r="C4" s="110" t="s">
        <v>428</v>
      </c>
      <c r="E4" s="32"/>
      <c r="F4" s="32" t="s">
        <v>150</v>
      </c>
      <c r="H4" s="32" t="s">
        <v>230</v>
      </c>
      <c r="L4" s="111" t="s">
        <v>424</v>
      </c>
      <c r="M4" s="111" t="s">
        <v>199</v>
      </c>
      <c r="N4" s="111" t="s">
        <v>272</v>
      </c>
      <c r="P4" s="32" t="s">
        <v>429</v>
      </c>
    </row>
    <row r="5" hidden="1">
      <c r="A5" s="109" t="s">
        <v>272</v>
      </c>
      <c r="C5" s="110" t="s">
        <v>430</v>
      </c>
      <c r="E5" s="32"/>
      <c r="F5" s="32" t="s">
        <v>204</v>
      </c>
      <c r="H5" s="32" t="s">
        <v>255</v>
      </c>
      <c r="L5" s="111" t="s">
        <v>424</v>
      </c>
      <c r="M5" s="111" t="s">
        <v>199</v>
      </c>
      <c r="N5" s="111" t="s">
        <v>274</v>
      </c>
      <c r="P5" s="32" t="s">
        <v>197</v>
      </c>
    </row>
    <row r="6" hidden="1">
      <c r="A6" s="109" t="s">
        <v>333</v>
      </c>
      <c r="C6" s="110" t="s">
        <v>431</v>
      </c>
      <c r="E6" s="32"/>
      <c r="F6" s="32" t="s">
        <v>198</v>
      </c>
      <c r="H6" s="32" t="s">
        <v>205</v>
      </c>
      <c r="L6" s="111" t="s">
        <v>424</v>
      </c>
      <c r="M6" s="111" t="s">
        <v>356</v>
      </c>
      <c r="N6" s="111" t="s">
        <v>233</v>
      </c>
      <c r="P6" s="32" t="s">
        <v>432</v>
      </c>
    </row>
    <row r="7" hidden="1">
      <c r="A7" s="109" t="s">
        <v>274</v>
      </c>
      <c r="C7" s="110" t="s">
        <v>433</v>
      </c>
      <c r="E7" s="32"/>
      <c r="F7" s="32" t="s">
        <v>412</v>
      </c>
      <c r="H7" s="32" t="s">
        <v>199</v>
      </c>
      <c r="L7" s="111" t="s">
        <v>424</v>
      </c>
      <c r="M7" s="111" t="s">
        <v>351</v>
      </c>
      <c r="N7" s="111" t="s">
        <v>327</v>
      </c>
      <c r="P7" s="32" t="s">
        <v>434</v>
      </c>
    </row>
    <row r="8" hidden="1">
      <c r="A8" s="109" t="s">
        <v>219</v>
      </c>
      <c r="C8" s="110" t="s">
        <v>435</v>
      </c>
      <c r="E8" s="32"/>
      <c r="F8" s="32" t="s">
        <v>147</v>
      </c>
      <c r="H8" s="32" t="s">
        <v>235</v>
      </c>
      <c r="L8" s="111" t="s">
        <v>424</v>
      </c>
      <c r="M8" s="111" t="s">
        <v>199</v>
      </c>
      <c r="N8" s="111" t="s">
        <v>282</v>
      </c>
      <c r="P8" s="32" t="s">
        <v>436</v>
      </c>
    </row>
    <row r="9" hidden="1">
      <c r="A9" s="109" t="s">
        <v>233</v>
      </c>
      <c r="C9" s="110" t="s">
        <v>311</v>
      </c>
      <c r="F9" s="32" t="s">
        <v>279</v>
      </c>
      <c r="L9" s="111" t="s">
        <v>424</v>
      </c>
      <c r="M9" s="111" t="s">
        <v>356</v>
      </c>
      <c r="N9" s="111" t="s">
        <v>357</v>
      </c>
      <c r="P9" s="32" t="s">
        <v>437</v>
      </c>
    </row>
    <row r="10" hidden="1">
      <c r="A10" s="109" t="s">
        <v>282</v>
      </c>
      <c r="C10" s="110" t="s">
        <v>197</v>
      </c>
      <c r="L10" s="111" t="s">
        <v>424</v>
      </c>
      <c r="M10" s="111" t="s">
        <v>356</v>
      </c>
      <c r="N10" s="111" t="s">
        <v>438</v>
      </c>
      <c r="P10" s="32" t="s">
        <v>439</v>
      </c>
    </row>
    <row r="11" hidden="1">
      <c r="A11" s="32" t="s">
        <v>357</v>
      </c>
      <c r="C11" s="110" t="s">
        <v>440</v>
      </c>
      <c r="L11" s="111" t="s">
        <v>424</v>
      </c>
      <c r="M11" s="111" t="s">
        <v>356</v>
      </c>
      <c r="N11" s="111" t="s">
        <v>251</v>
      </c>
      <c r="P11" s="32" t="s">
        <v>441</v>
      </c>
    </row>
    <row r="12" hidden="1">
      <c r="A12" s="32" t="s">
        <v>438</v>
      </c>
      <c r="C12" s="110" t="s">
        <v>442</v>
      </c>
      <c r="L12" s="111" t="s">
        <v>424</v>
      </c>
      <c r="M12" s="111" t="s">
        <v>356</v>
      </c>
      <c r="N12" s="111" t="s">
        <v>222</v>
      </c>
      <c r="P12" s="32" t="s">
        <v>242</v>
      </c>
    </row>
    <row r="13" hidden="1">
      <c r="A13" s="109" t="s">
        <v>251</v>
      </c>
      <c r="C13" s="112" t="s">
        <v>443</v>
      </c>
      <c r="L13" s="111" t="s">
        <v>424</v>
      </c>
      <c r="M13" s="111" t="s">
        <v>351</v>
      </c>
      <c r="N13" s="111" t="s">
        <v>241</v>
      </c>
      <c r="P13" s="32" t="s">
        <v>444</v>
      </c>
    </row>
    <row r="14" hidden="1">
      <c r="A14" s="109" t="s">
        <v>209</v>
      </c>
      <c r="C14" s="110" t="s">
        <v>445</v>
      </c>
      <c r="L14" s="111" t="s">
        <v>424</v>
      </c>
      <c r="M14" s="111" t="s">
        <v>351</v>
      </c>
      <c r="N14" s="111" t="s">
        <v>246</v>
      </c>
      <c r="P14" s="32" t="s">
        <v>229</v>
      </c>
    </row>
    <row r="15" hidden="1">
      <c r="A15" s="109" t="s">
        <v>222</v>
      </c>
      <c r="C15" s="110" t="s">
        <v>258</v>
      </c>
      <c r="L15" s="111" t="s">
        <v>424</v>
      </c>
      <c r="M15" s="111" t="s">
        <v>356</v>
      </c>
      <c r="N15" s="111" t="s">
        <v>366</v>
      </c>
      <c r="P15" s="32" t="s">
        <v>446</v>
      </c>
    </row>
    <row r="16" hidden="1">
      <c r="A16" s="109" t="s">
        <v>238</v>
      </c>
      <c r="C16" s="110" t="s">
        <v>447</v>
      </c>
      <c r="L16" s="111" t="s">
        <v>424</v>
      </c>
      <c r="M16" s="111" t="s">
        <v>199</v>
      </c>
      <c r="N16" s="111" t="s">
        <v>331</v>
      </c>
      <c r="P16" s="32" t="s">
        <v>254</v>
      </c>
    </row>
    <row r="17" hidden="1">
      <c r="A17" s="109" t="s">
        <v>241</v>
      </c>
      <c r="C17" s="110" t="s">
        <v>448</v>
      </c>
      <c r="L17" s="111" t="s">
        <v>424</v>
      </c>
      <c r="M17" s="111" t="s">
        <v>356</v>
      </c>
      <c r="N17" s="111" t="s">
        <v>369</v>
      </c>
      <c r="P17" s="32" t="s">
        <v>449</v>
      </c>
    </row>
    <row r="18" hidden="1">
      <c r="A18" s="109" t="s">
        <v>246</v>
      </c>
      <c r="C18" s="110" t="s">
        <v>450</v>
      </c>
      <c r="L18" s="111" t="s">
        <v>424</v>
      </c>
      <c r="M18" s="111" t="s">
        <v>356</v>
      </c>
      <c r="N18" s="111" t="s">
        <v>337</v>
      </c>
      <c r="P18" s="32" t="s">
        <v>304</v>
      </c>
    </row>
    <row r="19" hidden="1">
      <c r="A19" s="109" t="s">
        <v>202</v>
      </c>
      <c r="C19" s="110" t="s">
        <v>451</v>
      </c>
      <c r="L19" s="111" t="s">
        <v>424</v>
      </c>
      <c r="M19" s="111" t="s">
        <v>199</v>
      </c>
      <c r="N19" s="111" t="s">
        <v>261</v>
      </c>
      <c r="P19" s="32" t="s">
        <v>452</v>
      </c>
    </row>
    <row r="20" hidden="1">
      <c r="A20" s="109" t="s">
        <v>453</v>
      </c>
      <c r="C20" s="110" t="s">
        <v>289</v>
      </c>
      <c r="L20" s="111" t="s">
        <v>424</v>
      </c>
      <c r="M20" s="111" t="s">
        <v>351</v>
      </c>
      <c r="N20" s="111" t="s">
        <v>338</v>
      </c>
      <c r="P20" s="32" t="s">
        <v>335</v>
      </c>
    </row>
    <row r="21" hidden="1">
      <c r="A21" s="109" t="s">
        <v>454</v>
      </c>
      <c r="C21" s="110" t="s">
        <v>290</v>
      </c>
      <c r="L21" s="111" t="s">
        <v>424</v>
      </c>
      <c r="M21" s="111" t="s">
        <v>351</v>
      </c>
      <c r="N21" s="111" t="s">
        <v>264</v>
      </c>
      <c r="P21" s="32" t="s">
        <v>455</v>
      </c>
    </row>
    <row r="22" hidden="1">
      <c r="A22" s="109" t="s">
        <v>456</v>
      </c>
      <c r="C22" s="110" t="s">
        <v>457</v>
      </c>
      <c r="L22" s="111" t="s">
        <v>424</v>
      </c>
      <c r="M22" s="111" t="s">
        <v>351</v>
      </c>
      <c r="N22" s="111" t="s">
        <v>352</v>
      </c>
      <c r="P22" s="32" t="s">
        <v>458</v>
      </c>
    </row>
    <row r="23" hidden="1">
      <c r="A23" s="32" t="s">
        <v>459</v>
      </c>
      <c r="C23" s="110" t="s">
        <v>460</v>
      </c>
      <c r="L23" s="111" t="s">
        <v>424</v>
      </c>
      <c r="M23" s="111" t="s">
        <v>356</v>
      </c>
      <c r="N23" s="111" t="s">
        <v>378</v>
      </c>
      <c r="P23" s="32" t="s">
        <v>461</v>
      </c>
    </row>
    <row r="24" hidden="1">
      <c r="A24" s="32" t="s">
        <v>366</v>
      </c>
      <c r="C24" s="112" t="s">
        <v>462</v>
      </c>
      <c r="L24" s="111" t="s">
        <v>424</v>
      </c>
      <c r="M24" s="111" t="s">
        <v>351</v>
      </c>
      <c r="N24" s="111" t="s">
        <v>309</v>
      </c>
      <c r="P24" s="32" t="s">
        <v>463</v>
      </c>
    </row>
    <row r="25" hidden="1">
      <c r="A25" s="109" t="s">
        <v>331</v>
      </c>
      <c r="C25" s="110" t="s">
        <v>462</v>
      </c>
      <c r="L25" s="111" t="s">
        <v>424</v>
      </c>
      <c r="M25" s="111" t="s">
        <v>199</v>
      </c>
      <c r="N25" s="111" t="s">
        <v>228</v>
      </c>
      <c r="P25" s="32" t="s">
        <v>464</v>
      </c>
    </row>
    <row r="26" hidden="1">
      <c r="A26" s="109" t="s">
        <v>369</v>
      </c>
      <c r="C26" s="112" t="s">
        <v>291</v>
      </c>
      <c r="L26" s="111" t="s">
        <v>424</v>
      </c>
      <c r="M26" s="111" t="s">
        <v>356</v>
      </c>
      <c r="N26" s="111" t="s">
        <v>323</v>
      </c>
      <c r="P26" s="32" t="s">
        <v>465</v>
      </c>
    </row>
    <row r="27" hidden="1">
      <c r="A27" s="109" t="s">
        <v>337</v>
      </c>
      <c r="C27" s="110" t="s">
        <v>291</v>
      </c>
      <c r="L27" s="111" t="s">
        <v>424</v>
      </c>
      <c r="M27" s="111" t="s">
        <v>199</v>
      </c>
      <c r="N27" s="113" t="s">
        <v>408</v>
      </c>
      <c r="P27" s="32" t="s">
        <v>466</v>
      </c>
    </row>
    <row r="28" hidden="1">
      <c r="A28" s="109" t="s">
        <v>267</v>
      </c>
      <c r="C28" s="112" t="s">
        <v>467</v>
      </c>
      <c r="L28" s="111" t="s">
        <v>424</v>
      </c>
      <c r="M28" s="111" t="s">
        <v>351</v>
      </c>
      <c r="N28" s="111" t="s">
        <v>353</v>
      </c>
      <c r="P28" s="32" t="s">
        <v>468</v>
      </c>
    </row>
    <row r="29" hidden="1">
      <c r="A29" s="109" t="s">
        <v>261</v>
      </c>
      <c r="C29" s="110" t="s">
        <v>469</v>
      </c>
      <c r="L29" s="111" t="s">
        <v>424</v>
      </c>
      <c r="M29" s="111" t="s">
        <v>351</v>
      </c>
      <c r="N29" s="111" t="s">
        <v>213</v>
      </c>
      <c r="P29" s="32" t="s">
        <v>470</v>
      </c>
    </row>
    <row r="30" hidden="1">
      <c r="A30" s="109" t="s">
        <v>338</v>
      </c>
      <c r="C30" s="110" t="s">
        <v>294</v>
      </c>
      <c r="L30" s="111" t="s">
        <v>424</v>
      </c>
      <c r="M30" s="111" t="s">
        <v>351</v>
      </c>
      <c r="N30" s="111" t="s">
        <v>342</v>
      </c>
      <c r="P30" s="32" t="s">
        <v>471</v>
      </c>
    </row>
    <row r="31" hidden="1">
      <c r="A31" s="109" t="s">
        <v>264</v>
      </c>
      <c r="C31" s="110" t="s">
        <v>472</v>
      </c>
      <c r="L31" s="111" t="s">
        <v>424</v>
      </c>
      <c r="M31" s="111" t="s">
        <v>199</v>
      </c>
      <c r="N31" s="111" t="s">
        <v>257</v>
      </c>
      <c r="P31" s="32" t="s">
        <v>473</v>
      </c>
    </row>
    <row r="32" hidden="1">
      <c r="A32" s="109" t="s">
        <v>352</v>
      </c>
      <c r="C32" s="110" t="s">
        <v>474</v>
      </c>
      <c r="L32" s="111" t="s">
        <v>424</v>
      </c>
      <c r="M32" s="111" t="s">
        <v>351</v>
      </c>
      <c r="N32" s="111" t="s">
        <v>354</v>
      </c>
      <c r="P32" s="32" t="s">
        <v>475</v>
      </c>
    </row>
    <row r="33" hidden="1">
      <c r="A33" s="32" t="s">
        <v>378</v>
      </c>
      <c r="C33" s="110" t="s">
        <v>347</v>
      </c>
      <c r="L33" s="111" t="s">
        <v>424</v>
      </c>
      <c r="M33" s="111" t="s">
        <v>351</v>
      </c>
      <c r="N33" s="111" t="s">
        <v>355</v>
      </c>
      <c r="P33" s="32" t="s">
        <v>476</v>
      </c>
    </row>
    <row r="34" hidden="1">
      <c r="A34" s="109" t="s">
        <v>309</v>
      </c>
      <c r="C34" s="110" t="s">
        <v>345</v>
      </c>
      <c r="L34" s="111" t="s">
        <v>424</v>
      </c>
      <c r="M34" s="111" t="s">
        <v>199</v>
      </c>
      <c r="N34" s="111" t="s">
        <v>477</v>
      </c>
      <c r="P34" s="32" t="s">
        <v>478</v>
      </c>
    </row>
    <row r="35" hidden="1">
      <c r="A35" s="109" t="s">
        <v>228</v>
      </c>
      <c r="C35" s="110" t="s">
        <v>278</v>
      </c>
      <c r="L35" s="111" t="s">
        <v>424</v>
      </c>
      <c r="M35" s="111" t="s">
        <v>199</v>
      </c>
      <c r="N35" s="111" t="s">
        <v>479</v>
      </c>
      <c r="P35" s="32" t="s">
        <v>362</v>
      </c>
    </row>
    <row r="36" hidden="1">
      <c r="A36" s="109" t="s">
        <v>353</v>
      </c>
      <c r="C36" s="110" t="s">
        <v>276</v>
      </c>
      <c r="P36" s="32" t="s">
        <v>480</v>
      </c>
    </row>
    <row r="37">
      <c r="A37" s="109" t="s">
        <v>323</v>
      </c>
      <c r="C37" s="110" t="s">
        <v>481</v>
      </c>
      <c r="P37" s="32" t="s">
        <v>425</v>
      </c>
    </row>
    <row r="38">
      <c r="A38" s="109" t="s">
        <v>213</v>
      </c>
      <c r="C38" s="110" t="s">
        <v>314</v>
      </c>
      <c r="P38" s="32" t="s">
        <v>427</v>
      </c>
    </row>
    <row r="39" hidden="1">
      <c r="A39" s="109" t="s">
        <v>342</v>
      </c>
      <c r="C39" s="110" t="s">
        <v>482</v>
      </c>
      <c r="P39" s="32" t="s">
        <v>483</v>
      </c>
    </row>
    <row r="40" hidden="1">
      <c r="A40" s="109" t="s">
        <v>484</v>
      </c>
      <c r="C40" s="110" t="s">
        <v>485</v>
      </c>
      <c r="P40" s="32" t="s">
        <v>486</v>
      </c>
    </row>
    <row r="41" hidden="1">
      <c r="A41" s="109" t="s">
        <v>257</v>
      </c>
      <c r="C41" s="110" t="s">
        <v>283</v>
      </c>
      <c r="P41" s="32" t="s">
        <v>487</v>
      </c>
    </row>
    <row r="42" hidden="1">
      <c r="A42" s="109" t="s">
        <v>488</v>
      </c>
      <c r="C42" s="110" t="s">
        <v>286</v>
      </c>
      <c r="P42" s="32" t="s">
        <v>462</v>
      </c>
    </row>
    <row r="43" hidden="1">
      <c r="A43" s="32" t="s">
        <v>354</v>
      </c>
      <c r="C43" s="110" t="s">
        <v>339</v>
      </c>
      <c r="P43" s="32" t="s">
        <v>291</v>
      </c>
    </row>
    <row r="44" hidden="1">
      <c r="A44" s="32" t="s">
        <v>355</v>
      </c>
      <c r="C44" s="110" t="s">
        <v>341</v>
      </c>
      <c r="P44" s="32" t="s">
        <v>489</v>
      </c>
    </row>
    <row r="45" hidden="1">
      <c r="A45" s="109" t="s">
        <v>477</v>
      </c>
      <c r="C45" s="112" t="s">
        <v>490</v>
      </c>
      <c r="P45" s="32" t="s">
        <v>491</v>
      </c>
    </row>
    <row r="46" hidden="1">
      <c r="A46" s="109" t="s">
        <v>479</v>
      </c>
      <c r="C46" s="112" t="s">
        <v>492</v>
      </c>
      <c r="P46" s="32" t="s">
        <v>493</v>
      </c>
    </row>
    <row r="47" hidden="1">
      <c r="A47" s="109" t="s">
        <v>494</v>
      </c>
      <c r="C47" s="110" t="s">
        <v>495</v>
      </c>
      <c r="P47" s="32" t="s">
        <v>496</v>
      </c>
    </row>
    <row r="48" hidden="1">
      <c r="C48" s="110" t="s">
        <v>497</v>
      </c>
      <c r="P48" s="32" t="s">
        <v>498</v>
      </c>
    </row>
    <row r="49" hidden="1">
      <c r="C49" s="110" t="s">
        <v>499</v>
      </c>
      <c r="P49" s="32" t="s">
        <v>445</v>
      </c>
    </row>
    <row r="50" hidden="1">
      <c r="C50" s="110" t="s">
        <v>500</v>
      </c>
      <c r="P50" s="32" t="s">
        <v>501</v>
      </c>
    </row>
    <row r="51" hidden="1">
      <c r="C51" s="110" t="s">
        <v>502</v>
      </c>
      <c r="P51" s="32" t="s">
        <v>420</v>
      </c>
    </row>
    <row r="52" hidden="1">
      <c r="C52" s="110" t="s">
        <v>503</v>
      </c>
      <c r="P52" s="32" t="s">
        <v>504</v>
      </c>
    </row>
    <row r="53" hidden="1">
      <c r="C53" s="110" t="s">
        <v>505</v>
      </c>
      <c r="P53" s="32" t="s">
        <v>347</v>
      </c>
    </row>
    <row r="54" hidden="1">
      <c r="C54" s="110" t="s">
        <v>506</v>
      </c>
      <c r="P54" s="32" t="s">
        <v>345</v>
      </c>
    </row>
    <row r="55" hidden="1">
      <c r="C55" s="110" t="s">
        <v>507</v>
      </c>
      <c r="P55" s="32" t="s">
        <v>508</v>
      </c>
    </row>
    <row r="56" hidden="1">
      <c r="C56" s="110" t="s">
        <v>509</v>
      </c>
      <c r="P56" s="32" t="s">
        <v>262</v>
      </c>
    </row>
    <row r="57" hidden="1">
      <c r="C57" s="110" t="s">
        <v>510</v>
      </c>
      <c r="P57" s="32" t="s">
        <v>511</v>
      </c>
    </row>
    <row r="58" hidden="1">
      <c r="C58" s="110" t="s">
        <v>512</v>
      </c>
      <c r="P58" s="32" t="s">
        <v>513</v>
      </c>
    </row>
    <row r="59" hidden="1">
      <c r="C59" s="110" t="s">
        <v>514</v>
      </c>
      <c r="P59" s="32" t="s">
        <v>515</v>
      </c>
    </row>
    <row r="60" hidden="1">
      <c r="C60" s="110" t="s">
        <v>349</v>
      </c>
      <c r="P60" s="32" t="s">
        <v>516</v>
      </c>
    </row>
    <row r="61">
      <c r="C61" s="112" t="s">
        <v>517</v>
      </c>
      <c r="P61" s="32" t="s">
        <v>518</v>
      </c>
    </row>
    <row r="62">
      <c r="C62" s="112" t="s">
        <v>519</v>
      </c>
      <c r="P62" s="32" t="s">
        <v>520</v>
      </c>
    </row>
    <row r="63" hidden="1">
      <c r="C63" s="112" t="s">
        <v>521</v>
      </c>
      <c r="P63" s="32" t="s">
        <v>522</v>
      </c>
    </row>
    <row r="64">
      <c r="C64" s="110" t="s">
        <v>203</v>
      </c>
      <c r="P64" s="32" t="s">
        <v>523</v>
      </c>
    </row>
    <row r="65">
      <c r="C65" s="110" t="s">
        <v>208</v>
      </c>
      <c r="P65" s="32" t="s">
        <v>524</v>
      </c>
    </row>
    <row r="66">
      <c r="C66" s="110" t="s">
        <v>525</v>
      </c>
      <c r="P66" s="32" t="s">
        <v>526</v>
      </c>
    </row>
    <row r="67">
      <c r="C67" s="110" t="s">
        <v>527</v>
      </c>
      <c r="P67" s="32" t="s">
        <v>528</v>
      </c>
    </row>
    <row r="68">
      <c r="C68" s="112" t="s">
        <v>529</v>
      </c>
      <c r="P68" s="32" t="s">
        <v>530</v>
      </c>
    </row>
    <row r="69">
      <c r="C69" s="110" t="s">
        <v>328</v>
      </c>
      <c r="P69" s="32" t="s">
        <v>531</v>
      </c>
    </row>
    <row r="70" hidden="1">
      <c r="C70" s="110" t="s">
        <v>329</v>
      </c>
      <c r="P70" s="32" t="s">
        <v>532</v>
      </c>
    </row>
    <row r="71" hidden="1">
      <c r="C71" s="110" t="s">
        <v>533</v>
      </c>
      <c r="P71" s="32" t="s">
        <v>534</v>
      </c>
    </row>
    <row r="72" hidden="1">
      <c r="C72" s="110" t="s">
        <v>535</v>
      </c>
      <c r="P72" s="32" t="s">
        <v>536</v>
      </c>
    </row>
    <row r="73" hidden="1">
      <c r="C73" s="110" t="s">
        <v>537</v>
      </c>
      <c r="P73" s="32" t="s">
        <v>538</v>
      </c>
    </row>
    <row r="74" hidden="1">
      <c r="C74" s="110" t="s">
        <v>539</v>
      </c>
      <c r="P74" s="32" t="s">
        <v>540</v>
      </c>
    </row>
    <row r="75" hidden="1">
      <c r="C75" s="114" t="s">
        <v>247</v>
      </c>
      <c r="P75" s="32" t="s">
        <v>541</v>
      </c>
    </row>
    <row r="76" hidden="1">
      <c r="C76" s="114" t="s">
        <v>244</v>
      </c>
      <c r="P76" s="32" t="s">
        <v>542</v>
      </c>
    </row>
    <row r="77" hidden="1">
      <c r="C77" s="112" t="s">
        <v>242</v>
      </c>
      <c r="P77" s="32" t="s">
        <v>543</v>
      </c>
    </row>
    <row r="78" hidden="1">
      <c r="C78" s="112" t="s">
        <v>444</v>
      </c>
      <c r="P78" s="32" t="s">
        <v>544</v>
      </c>
    </row>
    <row r="79" hidden="1">
      <c r="C79" s="110" t="s">
        <v>210</v>
      </c>
      <c r="P79" s="32" t="s">
        <v>545</v>
      </c>
    </row>
    <row r="80" hidden="1">
      <c r="C80" s="110" t="s">
        <v>212</v>
      </c>
      <c r="P80" s="32" t="s">
        <v>546</v>
      </c>
    </row>
    <row r="81" hidden="1">
      <c r="C81" s="110" t="s">
        <v>547</v>
      </c>
      <c r="P81" s="32" t="s">
        <v>548</v>
      </c>
    </row>
    <row r="82" hidden="1">
      <c r="C82" s="110" t="s">
        <v>549</v>
      </c>
      <c r="P82" s="32" t="s">
        <v>550</v>
      </c>
    </row>
    <row r="83" hidden="1">
      <c r="C83" s="114" t="s">
        <v>551</v>
      </c>
      <c r="P83" s="32" t="s">
        <v>552</v>
      </c>
    </row>
    <row r="84" hidden="1">
      <c r="C84" s="114" t="s">
        <v>553</v>
      </c>
      <c r="P84" s="32" t="s">
        <v>529</v>
      </c>
    </row>
    <row r="85" hidden="1">
      <c r="C85" s="110" t="s">
        <v>554</v>
      </c>
      <c r="P85" s="32" t="s">
        <v>555</v>
      </c>
    </row>
    <row r="86" hidden="1">
      <c r="C86" s="110" t="s">
        <v>556</v>
      </c>
      <c r="P86" s="32" t="s">
        <v>557</v>
      </c>
    </row>
    <row r="87" hidden="1">
      <c r="C87" s="110" t="s">
        <v>558</v>
      </c>
      <c r="P87" s="32" t="s">
        <v>554</v>
      </c>
    </row>
    <row r="88" hidden="1">
      <c r="C88" s="110" t="s">
        <v>559</v>
      </c>
      <c r="P88" s="32" t="s">
        <v>560</v>
      </c>
    </row>
    <row r="89" hidden="1">
      <c r="C89" s="110" t="s">
        <v>561</v>
      </c>
      <c r="P89" s="32" t="s">
        <v>562</v>
      </c>
    </row>
    <row r="90" hidden="1">
      <c r="C90" s="110" t="s">
        <v>563</v>
      </c>
      <c r="P90" s="32" t="s">
        <v>564</v>
      </c>
    </row>
    <row r="91" hidden="1">
      <c r="C91" s="112" t="s">
        <v>565</v>
      </c>
      <c r="P91" s="32" t="s">
        <v>566</v>
      </c>
    </row>
    <row r="92" hidden="1">
      <c r="C92" s="112" t="s">
        <v>567</v>
      </c>
      <c r="P92" s="32" t="s">
        <v>568</v>
      </c>
    </row>
    <row r="93" hidden="1">
      <c r="C93" s="110" t="s">
        <v>569</v>
      </c>
      <c r="P93" s="32" t="s">
        <v>570</v>
      </c>
    </row>
    <row r="94" hidden="1">
      <c r="C94" s="110" t="s">
        <v>571</v>
      </c>
      <c r="P94" s="32" t="s">
        <v>572</v>
      </c>
    </row>
    <row r="95" hidden="1">
      <c r="C95" s="110" t="s">
        <v>321</v>
      </c>
      <c r="P95" s="32" t="s">
        <v>573</v>
      </c>
    </row>
    <row r="96" hidden="1">
      <c r="C96" s="110" t="s">
        <v>574</v>
      </c>
      <c r="P96" s="32" t="s">
        <v>575</v>
      </c>
    </row>
    <row r="97" hidden="1">
      <c r="C97" s="110" t="s">
        <v>576</v>
      </c>
      <c r="P97" s="32" t="s">
        <v>577</v>
      </c>
    </row>
    <row r="98" hidden="1">
      <c r="C98" s="110" t="s">
        <v>578</v>
      </c>
      <c r="P98" s="32" t="s">
        <v>579</v>
      </c>
    </row>
    <row r="99" hidden="1">
      <c r="C99" s="110" t="s">
        <v>508</v>
      </c>
      <c r="P99" s="32" t="s">
        <v>580</v>
      </c>
    </row>
    <row r="100" hidden="1">
      <c r="C100" s="110" t="s">
        <v>262</v>
      </c>
      <c r="P100" s="32" t="s">
        <v>581</v>
      </c>
    </row>
    <row r="101" hidden="1">
      <c r="C101" s="110" t="s">
        <v>582</v>
      </c>
      <c r="P101" s="32" t="s">
        <v>583</v>
      </c>
    </row>
    <row r="102" hidden="1">
      <c r="C102" s="110" t="s">
        <v>584</v>
      </c>
      <c r="P102" s="32" t="s">
        <v>585</v>
      </c>
    </row>
    <row r="103" hidden="1">
      <c r="C103" s="110" t="s">
        <v>586</v>
      </c>
      <c r="P103" s="32" t="s">
        <v>587</v>
      </c>
    </row>
    <row r="104" hidden="1">
      <c r="C104" s="110" t="s">
        <v>588</v>
      </c>
      <c r="P104" s="32" t="s">
        <v>589</v>
      </c>
    </row>
    <row r="105" hidden="1">
      <c r="C105" s="112" t="s">
        <v>491</v>
      </c>
      <c r="P105" s="32" t="s">
        <v>590</v>
      </c>
    </row>
    <row r="106" hidden="1">
      <c r="C106" s="112" t="s">
        <v>591</v>
      </c>
      <c r="P106" s="32" t="s">
        <v>592</v>
      </c>
    </row>
    <row r="107" hidden="1">
      <c r="C107" s="112" t="s">
        <v>593</v>
      </c>
      <c r="P107" s="32" t="s">
        <v>594</v>
      </c>
    </row>
    <row r="108" hidden="1">
      <c r="C108" s="110" t="s">
        <v>595</v>
      </c>
      <c r="P108" s="32" t="s">
        <v>596</v>
      </c>
    </row>
    <row r="109" hidden="1">
      <c r="C109" s="110" t="s">
        <v>597</v>
      </c>
      <c r="P109" s="32" t="s">
        <v>598</v>
      </c>
    </row>
    <row r="110" hidden="1">
      <c r="C110" s="110" t="s">
        <v>319</v>
      </c>
      <c r="P110" s="32" t="s">
        <v>599</v>
      </c>
    </row>
    <row r="111" hidden="1">
      <c r="C111" s="110" t="s">
        <v>600</v>
      </c>
      <c r="P111" s="32" t="s">
        <v>601</v>
      </c>
    </row>
    <row r="112" hidden="1">
      <c r="C112" s="110" t="s">
        <v>602</v>
      </c>
      <c r="P112" s="32" t="s">
        <v>603</v>
      </c>
    </row>
    <row r="113" hidden="1">
      <c r="C113" s="110" t="s">
        <v>604</v>
      </c>
      <c r="P113" s="32" t="s">
        <v>605</v>
      </c>
    </row>
    <row r="114" hidden="1">
      <c r="C114" s="110" t="s">
        <v>606</v>
      </c>
      <c r="P114" s="32" t="s">
        <v>607</v>
      </c>
    </row>
    <row r="115" hidden="1">
      <c r="C115" s="110" t="s">
        <v>608</v>
      </c>
      <c r="P115" s="32" t="s">
        <v>609</v>
      </c>
    </row>
    <row r="116" hidden="1">
      <c r="C116" s="110" t="s">
        <v>610</v>
      </c>
      <c r="P116" s="32" t="s">
        <v>611</v>
      </c>
    </row>
    <row r="117" hidden="1">
      <c r="C117" s="110" t="s">
        <v>612</v>
      </c>
      <c r="P117" s="32" t="s">
        <v>613</v>
      </c>
    </row>
    <row r="118" hidden="1">
      <c r="C118" s="110" t="s">
        <v>415</v>
      </c>
      <c r="P118" s="32" t="s">
        <v>614</v>
      </c>
    </row>
    <row r="119" hidden="1">
      <c r="C119" s="110" t="s">
        <v>418</v>
      </c>
      <c r="P119" s="32" t="s">
        <v>615</v>
      </c>
    </row>
    <row r="120" hidden="1">
      <c r="C120" s="110" t="s">
        <v>616</v>
      </c>
      <c r="P120" s="32" t="s">
        <v>617</v>
      </c>
    </row>
    <row r="121" hidden="1">
      <c r="C121" s="110" t="s">
        <v>618</v>
      </c>
      <c r="P121" s="32" t="s">
        <v>619</v>
      </c>
    </row>
    <row r="122" hidden="1">
      <c r="C122" s="110" t="s">
        <v>620</v>
      </c>
      <c r="P122" s="32" t="s">
        <v>621</v>
      </c>
    </row>
    <row r="123" hidden="1">
      <c r="C123" s="110" t="s">
        <v>622</v>
      </c>
      <c r="P123" s="32" t="s">
        <v>623</v>
      </c>
    </row>
    <row r="124" hidden="1">
      <c r="C124" s="112" t="s">
        <v>624</v>
      </c>
      <c r="P124" s="32" t="s">
        <v>625</v>
      </c>
    </row>
    <row r="125" hidden="1">
      <c r="C125" s="110" t="s">
        <v>626</v>
      </c>
      <c r="P125" s="32" t="s">
        <v>627</v>
      </c>
    </row>
    <row r="126" hidden="1">
      <c r="C126" s="110" t="s">
        <v>628</v>
      </c>
      <c r="P126" s="32" t="s">
        <v>629</v>
      </c>
    </row>
    <row r="127" hidden="1">
      <c r="C127" s="110" t="s">
        <v>630</v>
      </c>
      <c r="P127" s="32" t="s">
        <v>631</v>
      </c>
    </row>
    <row r="128" hidden="1">
      <c r="C128" s="110" t="s">
        <v>632</v>
      </c>
      <c r="P128" s="32" t="s">
        <v>633</v>
      </c>
    </row>
    <row r="129" hidden="1">
      <c r="C129" s="112" t="s">
        <v>634</v>
      </c>
      <c r="P129" s="32" t="s">
        <v>635</v>
      </c>
    </row>
    <row r="130" hidden="1">
      <c r="C130" s="110" t="s">
        <v>636</v>
      </c>
      <c r="P130" s="32" t="s">
        <v>637</v>
      </c>
    </row>
    <row r="131" hidden="1">
      <c r="C131" s="110" t="s">
        <v>638</v>
      </c>
      <c r="P131" s="32" t="s">
        <v>639</v>
      </c>
    </row>
    <row r="132" hidden="1">
      <c r="C132" s="110" t="s">
        <v>640</v>
      </c>
      <c r="P132" s="32" t="s">
        <v>641</v>
      </c>
    </row>
    <row r="133" hidden="1">
      <c r="C133" s="110" t="s">
        <v>642</v>
      </c>
      <c r="P133" s="32" t="s">
        <v>643</v>
      </c>
    </row>
    <row r="134" hidden="1">
      <c r="C134" s="110" t="s">
        <v>644</v>
      </c>
      <c r="P134" s="32" t="s">
        <v>645</v>
      </c>
    </row>
    <row r="135" hidden="1">
      <c r="C135" s="110" t="s">
        <v>646</v>
      </c>
      <c r="P135" s="32" t="s">
        <v>647</v>
      </c>
    </row>
    <row r="136" hidden="1">
      <c r="C136" s="110" t="s">
        <v>648</v>
      </c>
      <c r="P136" s="32" t="s">
        <v>649</v>
      </c>
    </row>
    <row r="137" hidden="1">
      <c r="C137" s="110" t="s">
        <v>650</v>
      </c>
      <c r="P137" s="32" t="s">
        <v>651</v>
      </c>
    </row>
    <row r="138" hidden="1">
      <c r="C138" s="112" t="s">
        <v>229</v>
      </c>
      <c r="P138" s="32" t="s">
        <v>652</v>
      </c>
    </row>
    <row r="139" hidden="1">
      <c r="C139" s="112" t="s">
        <v>254</v>
      </c>
      <c r="P139" s="32" t="s">
        <v>653</v>
      </c>
    </row>
    <row r="140" hidden="1">
      <c r="C140" s="112" t="s">
        <v>304</v>
      </c>
      <c r="P140" s="32" t="s">
        <v>654</v>
      </c>
    </row>
    <row r="141" hidden="1">
      <c r="C141" s="112" t="s">
        <v>335</v>
      </c>
      <c r="P141" s="32" t="s">
        <v>655</v>
      </c>
    </row>
    <row r="142" hidden="1">
      <c r="C142" s="112" t="s">
        <v>362</v>
      </c>
      <c r="P142" s="32" t="s">
        <v>656</v>
      </c>
    </row>
    <row r="143" hidden="1">
      <c r="C143" s="114"/>
      <c r="P143" s="32" t="s">
        <v>657</v>
      </c>
    </row>
    <row r="144" hidden="1">
      <c r="C144" s="114"/>
      <c r="P144" s="32" t="s">
        <v>658</v>
      </c>
    </row>
    <row r="145" hidden="1">
      <c r="C145" s="114"/>
      <c r="P145" s="32" t="s">
        <v>659</v>
      </c>
    </row>
    <row r="146" hidden="1">
      <c r="C146" s="114"/>
      <c r="P146" s="32" t="s">
        <v>660</v>
      </c>
    </row>
    <row r="147" hidden="1">
      <c r="P147" s="32" t="s">
        <v>661</v>
      </c>
    </row>
    <row r="148" hidden="1">
      <c r="P148" s="32" t="s">
        <v>662</v>
      </c>
    </row>
    <row r="149" hidden="1">
      <c r="P149" s="32" t="s">
        <v>663</v>
      </c>
    </row>
    <row r="150" hidden="1">
      <c r="P150" s="32" t="s">
        <v>664</v>
      </c>
    </row>
    <row r="151" hidden="1">
      <c r="P151" s="32" t="s">
        <v>665</v>
      </c>
    </row>
    <row r="152" hidden="1">
      <c r="P152" s="32" t="s">
        <v>666</v>
      </c>
    </row>
    <row r="153" hidden="1">
      <c r="P153" s="32" t="s">
        <v>667</v>
      </c>
    </row>
    <row r="154" hidden="1">
      <c r="P154" s="32" t="s">
        <v>668</v>
      </c>
    </row>
    <row r="155" hidden="1">
      <c r="P155" s="32" t="s">
        <v>669</v>
      </c>
    </row>
    <row r="156" hidden="1">
      <c r="P156" s="32" t="s">
        <v>670</v>
      </c>
    </row>
    <row r="157" hidden="1">
      <c r="P157" s="32" t="s">
        <v>671</v>
      </c>
    </row>
    <row r="158" hidden="1">
      <c r="P158" s="32" t="s">
        <v>672</v>
      </c>
    </row>
    <row r="159" hidden="1">
      <c r="P159" s="32" t="s">
        <v>673</v>
      </c>
    </row>
    <row r="160" hidden="1">
      <c r="P160" s="32" t="s">
        <v>674</v>
      </c>
    </row>
    <row r="161" hidden="1">
      <c r="P161" s="32" t="s">
        <v>675</v>
      </c>
    </row>
    <row r="162" hidden="1">
      <c r="P162" s="32" t="s">
        <v>676</v>
      </c>
    </row>
    <row r="163" hidden="1">
      <c r="P163" s="32" t="s">
        <v>677</v>
      </c>
    </row>
    <row r="164" hidden="1">
      <c r="P164" s="32" t="s">
        <v>678</v>
      </c>
    </row>
    <row r="165" hidden="1">
      <c r="P165" s="32" t="s">
        <v>679</v>
      </c>
    </row>
    <row r="166" hidden="1">
      <c r="P166" s="32" t="s">
        <v>680</v>
      </c>
    </row>
    <row r="167" hidden="1">
      <c r="P167" s="32" t="s">
        <v>681</v>
      </c>
    </row>
    <row r="168" hidden="1">
      <c r="P168" s="32" t="s">
        <v>682</v>
      </c>
    </row>
    <row r="169" hidden="1">
      <c r="P169" s="32" t="s">
        <v>683</v>
      </c>
    </row>
    <row r="170" hidden="1">
      <c r="P170" s="32" t="s">
        <v>684</v>
      </c>
    </row>
    <row r="171" hidden="1">
      <c r="P171" s="32" t="s">
        <v>685</v>
      </c>
    </row>
    <row r="172" hidden="1">
      <c r="P172" s="32" t="s">
        <v>686</v>
      </c>
    </row>
    <row r="173" hidden="1">
      <c r="P173" s="32" t="s">
        <v>467</v>
      </c>
    </row>
    <row r="174" hidden="1">
      <c r="P174" s="32" t="s">
        <v>687</v>
      </c>
    </row>
    <row r="175" hidden="1">
      <c r="P175" s="32" t="s">
        <v>688</v>
      </c>
    </row>
    <row r="176" hidden="1">
      <c r="P176" s="32" t="s">
        <v>689</v>
      </c>
    </row>
    <row r="177" hidden="1">
      <c r="P177" s="32" t="s">
        <v>690</v>
      </c>
    </row>
    <row r="178" hidden="1">
      <c r="P178" s="32" t="s">
        <v>691</v>
      </c>
    </row>
    <row r="179" hidden="1">
      <c r="P179" s="32" t="s">
        <v>278</v>
      </c>
    </row>
    <row r="180" hidden="1">
      <c r="P180" s="32" t="s">
        <v>276</v>
      </c>
    </row>
    <row r="181" hidden="1">
      <c r="P181" s="32" t="s">
        <v>692</v>
      </c>
    </row>
    <row r="182" hidden="1">
      <c r="P182" s="32" t="s">
        <v>693</v>
      </c>
    </row>
    <row r="183" hidden="1">
      <c r="P183" s="32" t="s">
        <v>694</v>
      </c>
    </row>
    <row r="184" hidden="1">
      <c r="P184" s="32" t="s">
        <v>497</v>
      </c>
    </row>
    <row r="185" hidden="1">
      <c r="P185" s="32" t="s">
        <v>602</v>
      </c>
    </row>
    <row r="186" hidden="1">
      <c r="P186" s="32" t="s">
        <v>604</v>
      </c>
    </row>
    <row r="187" hidden="1">
      <c r="P187" s="32" t="s">
        <v>695</v>
      </c>
    </row>
    <row r="188" hidden="1">
      <c r="P188" s="32" t="s">
        <v>696</v>
      </c>
    </row>
    <row r="189" hidden="1">
      <c r="P189" s="32" t="s">
        <v>697</v>
      </c>
    </row>
    <row r="190" hidden="1">
      <c r="P190" s="32" t="s">
        <v>698</v>
      </c>
    </row>
    <row r="191" hidden="1">
      <c r="P191" s="32" t="s">
        <v>699</v>
      </c>
    </row>
    <row r="192" hidden="1">
      <c r="P192" s="32" t="s">
        <v>700</v>
      </c>
    </row>
    <row r="193" hidden="1">
      <c r="P193" s="32" t="s">
        <v>701</v>
      </c>
    </row>
    <row r="194" hidden="1">
      <c r="P194" s="32" t="s">
        <v>702</v>
      </c>
    </row>
    <row r="195" hidden="1">
      <c r="P195" s="32" t="s">
        <v>703</v>
      </c>
    </row>
    <row r="196" hidden="1">
      <c r="P196" s="32" t="s">
        <v>704</v>
      </c>
    </row>
    <row r="197" hidden="1">
      <c r="P197" s="32" t="s">
        <v>705</v>
      </c>
    </row>
    <row r="198" hidden="1">
      <c r="P198" s="32" t="s">
        <v>706</v>
      </c>
    </row>
    <row r="199">
      <c r="P199" s="32" t="s">
        <v>523</v>
      </c>
    </row>
    <row r="200">
      <c r="P200" s="32" t="s">
        <v>524</v>
      </c>
    </row>
    <row r="201">
      <c r="P201" s="32" t="s">
        <v>530</v>
      </c>
    </row>
    <row r="202" hidden="1">
      <c r="P202" s="32" t="s">
        <v>707</v>
      </c>
    </row>
    <row r="203" hidden="1">
      <c r="P203" s="32" t="s">
        <v>708</v>
      </c>
    </row>
    <row r="204" hidden="1">
      <c r="P204" s="32" t="s">
        <v>709</v>
      </c>
    </row>
    <row r="205" hidden="1">
      <c r="P205" s="32" t="s">
        <v>710</v>
      </c>
    </row>
    <row r="206" hidden="1">
      <c r="P206" s="32" t="s">
        <v>711</v>
      </c>
    </row>
    <row r="207" hidden="1">
      <c r="P207" s="32" t="s">
        <v>712</v>
      </c>
    </row>
    <row r="208" hidden="1">
      <c r="P208" s="32" t="s">
        <v>713</v>
      </c>
    </row>
    <row r="209" hidden="1">
      <c r="P209" s="32" t="s">
        <v>714</v>
      </c>
    </row>
    <row r="210" hidden="1">
      <c r="P210" s="32" t="s">
        <v>715</v>
      </c>
    </row>
    <row r="211" hidden="1">
      <c r="P211" s="32" t="s">
        <v>716</v>
      </c>
    </row>
    <row r="212" hidden="1">
      <c r="P212" s="32" t="s">
        <v>717</v>
      </c>
    </row>
    <row r="213" hidden="1">
      <c r="P213" s="32" t="s">
        <v>718</v>
      </c>
    </row>
    <row r="214" hidden="1">
      <c r="P214" s="32" t="s">
        <v>719</v>
      </c>
    </row>
    <row r="215" hidden="1">
      <c r="P215" s="32" t="s">
        <v>720</v>
      </c>
    </row>
    <row r="216" hidden="1">
      <c r="P216" s="32" t="s">
        <v>721</v>
      </c>
    </row>
    <row r="217" hidden="1">
      <c r="P217" s="32" t="s">
        <v>722</v>
      </c>
    </row>
    <row r="218" hidden="1">
      <c r="P218" s="32" t="s">
        <v>723</v>
      </c>
    </row>
    <row r="219" hidden="1">
      <c r="P219" s="32" t="s">
        <v>724</v>
      </c>
    </row>
    <row r="220" hidden="1">
      <c r="P220" s="32" t="s">
        <v>725</v>
      </c>
    </row>
    <row r="221" hidden="1">
      <c r="P221" s="32" t="s">
        <v>726</v>
      </c>
    </row>
    <row r="222" hidden="1">
      <c r="P222" s="32" t="s">
        <v>727</v>
      </c>
    </row>
    <row r="223" hidden="1">
      <c r="P223" s="32" t="s">
        <v>728</v>
      </c>
    </row>
    <row r="224" hidden="1">
      <c r="P224" s="32" t="s">
        <v>729</v>
      </c>
    </row>
    <row r="225" hidden="1">
      <c r="P225" s="32" t="s">
        <v>730</v>
      </c>
    </row>
    <row r="226" hidden="1">
      <c r="P226" s="32" t="s">
        <v>731</v>
      </c>
    </row>
    <row r="227" hidden="1">
      <c r="P227" s="32" t="s">
        <v>732</v>
      </c>
    </row>
    <row r="228" hidden="1">
      <c r="P228" s="32" t="s">
        <v>733</v>
      </c>
    </row>
    <row r="229" hidden="1">
      <c r="P229" s="32" t="s">
        <v>734</v>
      </c>
    </row>
    <row r="230" hidden="1">
      <c r="P230" s="32" t="s">
        <v>735</v>
      </c>
    </row>
    <row r="231" hidden="1">
      <c r="P231" s="32" t="s">
        <v>736</v>
      </c>
    </row>
    <row r="232" hidden="1">
      <c r="P232" s="32" t="s">
        <v>737</v>
      </c>
    </row>
    <row r="233" hidden="1">
      <c r="P233" s="32" t="s">
        <v>738</v>
      </c>
    </row>
    <row r="234" hidden="1">
      <c r="P234" s="32" t="s">
        <v>739</v>
      </c>
    </row>
    <row r="235" hidden="1">
      <c r="P235" s="32" t="s">
        <v>740</v>
      </c>
    </row>
    <row r="236" hidden="1">
      <c r="P236" s="32" t="s">
        <v>741</v>
      </c>
    </row>
    <row r="237" hidden="1">
      <c r="P237" s="32" t="s">
        <v>742</v>
      </c>
    </row>
    <row r="238" hidden="1">
      <c r="P238" s="32" t="s">
        <v>743</v>
      </c>
    </row>
    <row r="239" hidden="1">
      <c r="P239" s="32" t="s">
        <v>744</v>
      </c>
    </row>
    <row r="240" hidden="1">
      <c r="P240" s="32" t="s">
        <v>745</v>
      </c>
    </row>
    <row r="241" hidden="1">
      <c r="P241" s="32" t="s">
        <v>746</v>
      </c>
    </row>
    <row r="242" hidden="1">
      <c r="P242" s="32" t="s">
        <v>747</v>
      </c>
    </row>
    <row r="243" hidden="1">
      <c r="P243" s="32" t="s">
        <v>748</v>
      </c>
    </row>
    <row r="244" hidden="1">
      <c r="P244" s="32" t="s">
        <v>749</v>
      </c>
    </row>
    <row r="245" hidden="1">
      <c r="P245" s="32" t="s">
        <v>750</v>
      </c>
    </row>
    <row r="246" hidden="1">
      <c r="P246" s="32" t="s">
        <v>751</v>
      </c>
    </row>
    <row r="247" hidden="1">
      <c r="P247" s="32" t="s">
        <v>752</v>
      </c>
    </row>
    <row r="248" hidden="1">
      <c r="P248" s="32" t="s">
        <v>753</v>
      </c>
    </row>
    <row r="249" hidden="1">
      <c r="P249" s="32" t="s">
        <v>754</v>
      </c>
    </row>
    <row r="250" hidden="1">
      <c r="P250" s="32" t="s">
        <v>755</v>
      </c>
    </row>
    <row r="251" hidden="1">
      <c r="P251" s="32" t="s">
        <v>756</v>
      </c>
    </row>
    <row r="252" hidden="1">
      <c r="P252" s="32" t="s">
        <v>757</v>
      </c>
    </row>
    <row r="253" hidden="1">
      <c r="P253" s="32" t="s">
        <v>758</v>
      </c>
    </row>
    <row r="254" hidden="1">
      <c r="P254" s="32" t="s">
        <v>759</v>
      </c>
    </row>
    <row r="255" hidden="1">
      <c r="P255" s="32" t="s">
        <v>760</v>
      </c>
    </row>
    <row r="256" hidden="1">
      <c r="P256" s="32" t="s">
        <v>761</v>
      </c>
    </row>
    <row r="257" hidden="1">
      <c r="P257" s="32" t="s">
        <v>762</v>
      </c>
    </row>
    <row r="258" hidden="1">
      <c r="P258" s="32" t="s">
        <v>763</v>
      </c>
    </row>
    <row r="259" hidden="1">
      <c r="P259" s="32" t="s">
        <v>764</v>
      </c>
    </row>
    <row r="260" hidden="1">
      <c r="P260" s="32" t="s">
        <v>765</v>
      </c>
    </row>
    <row r="261" hidden="1">
      <c r="P261" s="32" t="s">
        <v>766</v>
      </c>
    </row>
    <row r="262" hidden="1">
      <c r="P262" s="32" t="s">
        <v>767</v>
      </c>
    </row>
    <row r="263" hidden="1">
      <c r="P263" s="32" t="s">
        <v>768</v>
      </c>
    </row>
    <row r="264" hidden="1">
      <c r="P264" s="32" t="s">
        <v>769</v>
      </c>
    </row>
    <row r="265" hidden="1">
      <c r="P265" s="32" t="s">
        <v>770</v>
      </c>
    </row>
    <row r="266" hidden="1">
      <c r="P266" s="32" t="s">
        <v>771</v>
      </c>
    </row>
    <row r="267" hidden="1">
      <c r="P267" s="32" t="s">
        <v>772</v>
      </c>
    </row>
    <row r="268" hidden="1">
      <c r="P268" s="32" t="s">
        <v>773</v>
      </c>
    </row>
    <row r="269" hidden="1">
      <c r="P269" s="32" t="s">
        <v>774</v>
      </c>
    </row>
    <row r="270" hidden="1">
      <c r="P270" s="32" t="s">
        <v>775</v>
      </c>
    </row>
    <row r="271" hidden="1">
      <c r="P271" s="32" t="s">
        <v>776</v>
      </c>
    </row>
    <row r="272" hidden="1">
      <c r="P272" s="32" t="s">
        <v>777</v>
      </c>
    </row>
    <row r="273" hidden="1">
      <c r="P273" s="32" t="s">
        <v>778</v>
      </c>
    </row>
    <row r="274">
      <c r="P274" s="32" t="s">
        <v>779</v>
      </c>
    </row>
    <row r="275">
      <c r="P275" s="32" t="s">
        <v>780</v>
      </c>
    </row>
    <row r="276" hidden="1">
      <c r="P276" s="32" t="s">
        <v>781</v>
      </c>
    </row>
    <row r="277" hidden="1">
      <c r="P277" s="32" t="s">
        <v>782</v>
      </c>
    </row>
    <row r="278" hidden="1">
      <c r="P278" s="32" t="s">
        <v>783</v>
      </c>
    </row>
    <row r="279" hidden="1">
      <c r="P279" s="32" t="s">
        <v>784</v>
      </c>
    </row>
    <row r="280" hidden="1">
      <c r="P280" s="32" t="s">
        <v>785</v>
      </c>
    </row>
    <row r="281" hidden="1">
      <c r="P281" s="32" t="s">
        <v>786</v>
      </c>
    </row>
    <row r="282" hidden="1">
      <c r="P282" s="32" t="s">
        <v>787</v>
      </c>
    </row>
    <row r="283" hidden="1">
      <c r="P283" s="32" t="s">
        <v>788</v>
      </c>
    </row>
  </sheetData>
  <autoFilter ref="$P$1:$P$283">
    <filterColumn colId="0">
      <filters>
        <filter val="BUSBAR #1B 150kV"/>
        <filter val="BUSBAR #2 150kV"/>
        <filter val="PHT 150kV CURUG#1 "/>
        <filter val="BUSBAR #1 150kV"/>
        <filter val="PHT 150kV ALAM SUTERA #2 "/>
        <filter val="PHT 150kV ALAM SUTERA#2 "/>
        <filter val="KOPEL BUS 150kV "/>
        <filter val="PHT 150kV ALAM SUTERA#1 "/>
        <filter val="PHT 150kV CURUG#2 "/>
        <filter val="BUSBAR A"/>
        <filter val="BUSBAR B"/>
        <filter val="BUSBAR #2B 150kV"/>
        <filter val="BUS SECTION #2 150kV"/>
        <filter val="BUSBAR #2A 150kV"/>
        <filter val="BUSBAR #1A 150kV"/>
        <filter val="BUSBAR A 500kV"/>
        <filter val="BUS SECTION #1 150kV"/>
        <filter val="PHT 150kV METLAND #2 "/>
        <filter val="BUSBAR B 500kV"/>
      </filters>
    </filterColumn>
  </autoFilter>
  <drawing r:id="rId1"/>
</worksheet>
</file>